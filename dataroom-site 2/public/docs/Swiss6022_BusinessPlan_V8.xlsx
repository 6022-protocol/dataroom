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P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KPIs Yrly" sheetId="4" state="visible" r:id="rId4"/>
    <sheet xmlns:r="http://schemas.openxmlformats.org/officeDocument/2006/relationships" name="Key Assumption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Output - P&amp;L" sheetId="7" state="visible" r:id="rId7"/>
    <sheet xmlns:r="http://schemas.openxmlformats.org/officeDocument/2006/relationships" name="Salaries" sheetId="8" state="visible" r:id="rId8"/>
    <sheet xmlns:r="http://schemas.openxmlformats.org/officeDocument/2006/relationships" name="Sales" sheetId="9" state="visible" r:id="rId9"/>
    <sheet xmlns:r="http://schemas.openxmlformats.org/officeDocument/2006/relationships" name="Costs" sheetId="10" state="visible" r:id="rId10"/>
    <sheet xmlns:r="http://schemas.openxmlformats.org/officeDocument/2006/relationships" name="Token Economics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Churn &amp; Clients" sheetId="13" state="visible" r:id="rId13"/>
    <sheet xmlns:r="http://schemas.openxmlformats.org/officeDocument/2006/relationships" name="CF" sheetId="14" state="visible" r:id="rId14"/>
    <sheet xmlns:r="http://schemas.openxmlformats.org/officeDocument/2006/relationships" name="Funding &amp; Runway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\€#,##0"/>
    <numFmt numFmtId="166" formatCode="\€0.000"/>
    <numFmt numFmtId="167" formatCode="+#,##0;-#,##0"/>
  </numFmts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9"/>
      <sz val="20"/>
    </font>
    <font>
      <name val="Cambria"/>
      <charset val="1"/>
      <family val="0"/>
      <b val="1"/>
      <sz val="14"/>
    </font>
    <font>
      <name val="Cambria"/>
      <charset val="1"/>
      <family val="0"/>
      <i val="1"/>
      <sz val="12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1F4E79"/>
      <sz val="16"/>
    </font>
    <font>
      <i val="1"/>
      <sz val="9"/>
    </font>
    <font>
      <b val="1"/>
      <sz val="14"/>
    </font>
    <font>
      <b val="1"/>
      <color rgb="001F4E79"/>
      <sz val="12"/>
    </font>
    <font>
      <b val="1"/>
      <color rgb="00FFFFFF"/>
      <sz val="11"/>
    </font>
    <font>
      <b val="1"/>
      <color rgb="001F4E79"/>
      <sz val="11"/>
    </font>
    <font>
      <color rgb="00666666"/>
      <sz val="10"/>
    </font>
    <font>
      <b val="1"/>
    </font>
    <font>
      <b val="1"/>
      <sz val="11"/>
    </font>
    <font>
      <b val="1"/>
      <color rgb="00FF0000"/>
    </font>
    <font>
      <color rgb="00FF0000"/>
    </font>
    <font>
      <b val="1"/>
      <i val="1"/>
    </font>
    <font>
      <i val="1"/>
      <color rgb="00666666"/>
      <sz val="9"/>
    </font>
    <font>
      <b val="1"/>
      <color rgb="001F4E79"/>
      <sz val="14"/>
    </font>
    <font>
      <i val="1"/>
    </font>
    <font>
      <color rgb="00FF6600"/>
    </font>
    <font>
      <i val="1"/>
      <sz val="10"/>
    </font>
    <font>
      <b val="1"/>
      <color rgb="00008000"/>
    </font>
    <font>
      <color rgb="00008000"/>
    </font>
    <font>
      <i val="1"/>
      <color rgb="001F4E79"/>
    </font>
    <font>
      <b val="1"/>
      <color rgb="00FF6600"/>
      <sz val="11"/>
    </font>
    <font>
      <i val="1"/>
      <color rgb="001F4E79"/>
      <sz val="9"/>
    </font>
    <font>
      <b val="1"/>
      <color rgb="00FF6600"/>
    </font>
    <font>
      <b val="1"/>
      <color rgb="001F4E79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C6EFCE"/>
      </patternFill>
    </fill>
    <fill>
      <patternFill patternType="solid">
        <fgColor rgb="FFC6EFCE"/>
        <bgColor rgb="FFDEEAF6"/>
      </patternFill>
    </fill>
    <fill>
      <patternFill patternType="solid">
        <fgColor rgb="001F4E79"/>
        <bgColor rgb="001F4E79"/>
      </patternFill>
    </fill>
    <fill>
      <patternFill patternType="solid">
        <fgColor rgb="00DEEAF6"/>
        <bgColor rgb="00DEEAF6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9" fillId="4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3" fontId="13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9" fillId="4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3" fontId="13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6" borderId="0" pivotButton="0" quotePrefix="0" xfId="0"/>
    <xf numFmtId="0" fontId="18" fillId="6" borderId="0" applyAlignment="1" pivotButton="0" quotePrefix="0" xfId="0">
      <alignment horizontal="center"/>
    </xf>
    <xf numFmtId="0" fontId="19" fillId="7" borderId="0" pivotButton="0" quotePrefix="0" xfId="0"/>
    <xf numFmtId="3" fontId="0" fillId="0" borderId="0" pivotButton="0" quotePrefix="0" xfId="0"/>
    <xf numFmtId="0" fontId="20" fillId="0" borderId="0" pivotButton="0" quotePrefix="0" xfId="0"/>
    <xf numFmtId="3" fontId="20" fillId="0" borderId="0" pivotButton="0" quotePrefix="0" xfId="0"/>
    <xf numFmtId="0" fontId="21" fillId="7" borderId="0" pivotButton="0" quotePrefix="0" xfId="0"/>
    <xf numFmtId="3" fontId="21" fillId="7" borderId="0" pivotButton="0" quotePrefix="0" xfId="0"/>
    <xf numFmtId="0" fontId="21" fillId="0" borderId="0" pivotButton="0" quotePrefix="0" xfId="0"/>
    <xf numFmtId="3" fontId="21" fillId="0" borderId="0" pivotButton="0" quotePrefix="0" xfId="0"/>
    <xf numFmtId="0" fontId="22" fillId="8" borderId="0" pivotButton="0" quotePrefix="0" xfId="0"/>
    <xf numFmtId="3" fontId="23" fillId="8" borderId="0" pivotButton="0" quotePrefix="0" xfId="0"/>
    <xf numFmtId="3" fontId="21" fillId="8" borderId="0" pivotButton="0" quotePrefix="0" xfId="0"/>
    <xf numFmtId="164" fontId="0" fillId="0" borderId="0" pivotButton="0" quotePrefix="0" xfId="0"/>
    <xf numFmtId="3" fontId="24" fillId="0" borderId="0" pivotButton="0" quotePrefix="0" xfId="0"/>
    <xf numFmtId="3" fontId="23" fillId="7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7" fillId="9" borderId="0" pivotButton="0" quotePrefix="0" xfId="0"/>
    <xf numFmtId="0" fontId="28" fillId="0" borderId="0" pivotButton="0" quotePrefix="0" xfId="0"/>
    <xf numFmtId="2" fontId="0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2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19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17" fillId="7" borderId="0" pivotButton="0" quotePrefix="0" xfId="0"/>
    <xf numFmtId="0" fontId="0" fillId="7" borderId="0" pivotButton="0" quotePrefix="0" xfId="0"/>
    <xf numFmtId="0" fontId="21" fillId="8" borderId="0" pivotButton="0" quotePrefix="0" xfId="0"/>
    <xf numFmtId="0" fontId="22" fillId="0" borderId="0" pivotButton="0" quotePrefix="0" xfId="0"/>
    <xf numFmtId="0" fontId="24" fillId="0" borderId="0" pivotButton="0" quotePrefix="0" xfId="0"/>
    <xf numFmtId="3" fontId="32" fillId="0" borderId="0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36" fillId="0" borderId="0" pivotButton="0" quotePrefix="0" xfId="0"/>
    <xf numFmtId="167" fontId="24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9" fontId="21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167" fontId="23" fillId="0" borderId="0" pivotButton="0" quotePrefix="0" xfId="0"/>
    <xf numFmtId="167" fontId="21" fillId="0" borderId="0" pivotButton="0" quotePrefix="0" xfId="0"/>
    <xf numFmtId="3" fontId="23" fillId="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4" min="2" max="2"/>
    <col width="12" customWidth="1" style="24" min="3" max="3"/>
    <col width="25" customWidth="1" style="24" min="4" max="4"/>
    <col width="12" customWidth="1" style="24" min="5" max="5"/>
    <col width="35" customWidth="1" style="24" min="6" max="6"/>
  </cols>
  <sheetData>
    <row r="2" ht="24.45" customHeight="1" s="25">
      <c r="B2" s="26" t="inlineStr">
        <is>
          <t>SWISS 6022</t>
        </is>
      </c>
    </row>
    <row r="3" ht="17.35" customHeight="1" s="25">
      <c r="B3" s="27" t="inlineStr">
        <is>
          <t>Business Plan 2026-2030</t>
        </is>
      </c>
    </row>
    <row r="4" ht="15" customHeight="1" s="25">
      <c r="B4" s="28" t="inlineStr">
        <is>
          <t>Token-powered SaaS Platform for Agentic AI Teams</t>
        </is>
      </c>
    </row>
    <row r="5">
      <c r="B5" s="78" t="inlineStr">
        <is>
          <t>📍 Headquarters: Switzerland, Canton of Fribourg</t>
        </is>
      </c>
    </row>
    <row r="7" ht="15" customHeight="1" s="25">
      <c r="B7" s="29" t="inlineStr">
        <is>
          <t>INVESTMENT HIGHLIGHTS</t>
        </is>
      </c>
    </row>
    <row r="9" ht="15" customHeight="1" s="25">
      <c r="B9" s="24" t="inlineStr">
        <is>
          <t>• €60M+ cumulative revenues by 2030</t>
        </is>
      </c>
    </row>
    <row r="10" ht="15" customHeight="1" s="25">
      <c r="B10" s="24" t="inlineStr">
        <is>
          <t>• €1B token market cap trajectory</t>
        </is>
      </c>
    </row>
    <row r="11" ht="15" customHeight="1" s="25">
      <c r="B11" s="24" t="inlineStr">
        <is>
          <t>• Break-even in 2027, strong profitability from 2028</t>
        </is>
      </c>
    </row>
    <row r="12" ht="15" customHeight="1" s="25">
      <c r="B12" s="24" t="inlineStr">
        <is>
          <t>• Hybrid SaaS + Token economics model</t>
        </is>
      </c>
    </row>
    <row r="13" ht="15" customHeight="1" s="25">
      <c r="B13" s="24" t="inlineStr">
        <is>
          <t>• Defensible moat: Insurance AI expertise + blockchain</t>
        </is>
      </c>
    </row>
    <row r="14" ht="15" customHeight="1" s="25">
      <c r="B14" s="24" t="inlineStr">
        <is>
          <t>• Funding need: €3-4M for 2026-2027 scale-up</t>
        </is>
      </c>
    </row>
    <row r="17" ht="15" customHeight="1" s="25">
      <c r="B17" s="29" t="inlineStr">
        <is>
          <t>KEY FINANCIALS (M€)</t>
        </is>
      </c>
    </row>
    <row r="19" ht="15" customHeight="1" s="25">
      <c r="C19" s="30" t="inlineStr">
        <is>
          <t>2026</t>
        </is>
      </c>
      <c r="D19" s="30" t="inlineStr">
        <is>
          <t>2027</t>
        </is>
      </c>
      <c r="E19" s="30" t="inlineStr">
        <is>
          <t>2028</t>
        </is>
      </c>
      <c r="F19" s="30" t="inlineStr">
        <is>
          <t>2029</t>
        </is>
      </c>
      <c r="G19" s="30" t="inlineStr">
        <is>
          <t>2030</t>
        </is>
      </c>
    </row>
    <row r="20" ht="15" customHeight="1" s="25">
      <c r="B20" s="24" t="inlineStr">
        <is>
          <t>Revenue</t>
        </is>
      </c>
      <c r="C20" s="24" t="n">
        <v>1.5</v>
      </c>
      <c r="D20" s="24" t="n">
        <v>4.4</v>
      </c>
      <c r="E20" s="24" t="n">
        <v>10.1</v>
      </c>
      <c r="F20" s="24" t="n">
        <v>18.6</v>
      </c>
      <c r="G20" s="24" t="n">
        <v>33.4</v>
      </c>
    </row>
    <row r="21" ht="15" customHeight="1" s="25">
      <c r="B21" s="24" t="inlineStr">
        <is>
          <t>Costs</t>
        </is>
      </c>
      <c r="C21" s="24" t="n">
        <v>2.1</v>
      </c>
      <c r="D21" s="24" t="n">
        <v>3.1</v>
      </c>
      <c r="E21" s="24" t="n">
        <v>3.7</v>
      </c>
      <c r="F21" s="24" t="n">
        <v>4.7</v>
      </c>
      <c r="G21" s="24" t="n">
        <v>5.1</v>
      </c>
    </row>
    <row r="22" ht="15" customHeight="1" s="25">
      <c r="B22" s="31" t="inlineStr">
        <is>
          <t>Net Result</t>
        </is>
      </c>
      <c r="C22" s="31" t="n">
        <v>-1.1</v>
      </c>
      <c r="D22" s="31" t="n">
        <v>1.3</v>
      </c>
      <c r="E22" s="31" t="n">
        <v>6.3</v>
      </c>
      <c r="F22" s="31" t="n">
        <v>13.4</v>
      </c>
      <c r="G22" s="31" t="n">
        <v>27.9</v>
      </c>
    </row>
    <row r="23" ht="15" customHeight="1" s="25">
      <c r="B23" s="31" t="inlineStr">
        <is>
          <t>Cumulative Cash</t>
        </is>
      </c>
      <c r="C23" s="31" t="n">
        <v>-1.1</v>
      </c>
      <c r="D23" s="31" t="n">
        <v>0.2</v>
      </c>
      <c r="E23" s="31" t="n">
        <v>6.4</v>
      </c>
      <c r="F23" s="31" t="n">
        <v>19.8</v>
      </c>
      <c r="G23" s="31" t="n">
        <v>47.7</v>
      </c>
    </row>
    <row r="24" ht="15" customHeight="1" s="25">
      <c r="B24" s="24" t="inlineStr">
        <is>
          <t>Token Assets</t>
        </is>
      </c>
      <c r="C24" s="24" t="n">
        <v>2</v>
      </c>
      <c r="D24" s="24" t="n">
        <v>4</v>
      </c>
      <c r="E24" s="24" t="n">
        <v>10</v>
      </c>
      <c r="F24" s="24" t="n">
        <v>27</v>
      </c>
      <c r="G24" s="24" t="n">
        <v>88</v>
      </c>
    </row>
    <row r="27" ht="15" customHeight="1" s="25">
      <c r="B27" s="29" t="inlineStr">
        <is>
          <t>BUSINESS MODEL - 3 Revenue Streams</t>
        </is>
      </c>
    </row>
    <row r="29" ht="15" customHeight="1" s="25">
      <c r="B29" s="31" t="inlineStr">
        <is>
          <t>1. Setup Fees (one-off)</t>
        </is>
      </c>
      <c r="D29" s="24" t="inlineStr">
        <is>
          <t>€80K-€300K per client</t>
        </is>
      </c>
      <c r="F29" s="24" t="inlineStr">
        <is>
          <t>Integration, agent creation, go-live</t>
        </is>
      </c>
    </row>
    <row r="30" ht="15" customHeight="1" s="25">
      <c r="B30" s="31" t="inlineStr">
        <is>
          <t>2. Hosting &amp; Support (recurring)</t>
        </is>
      </c>
      <c r="D30" s="24" t="inlineStr">
        <is>
          <t>€36K-€120K per year</t>
        </is>
      </c>
      <c r="F30" s="24" t="inlineStr">
        <is>
          <t>Flat fee by tier, no usage-based costs</t>
        </is>
      </c>
    </row>
    <row r="31" ht="15" customHeight="1" s="25">
      <c r="B31" s="31" t="inlineStr">
        <is>
          <t>3. Stake-to-Access (token)</t>
        </is>
      </c>
      <c r="D31" s="24" t="inlineStr">
        <is>
          <t>Buy or Rent tokens</t>
        </is>
      </c>
      <c r="F31" s="24" t="inlineStr">
        <is>
          <t>Aligns client &amp; platform interests</t>
        </is>
      </c>
    </row>
    <row r="34" ht="15" customHeight="1" s="25">
      <c r="B34" s="29" t="inlineStr">
        <is>
          <t>USE OF FUNDS (€3-4M)</t>
        </is>
      </c>
    </row>
    <row r="36" ht="15" customHeight="1" s="25">
      <c r="B36" s="24" t="inlineStr">
        <is>
          <t>Enterprise-grade Platform</t>
        </is>
      </c>
      <c r="D36" s="24" t="inlineStr">
        <is>
          <t>17%</t>
        </is>
      </c>
    </row>
    <row r="37" ht="15" customHeight="1" s="25">
      <c r="B37" s="24" t="inlineStr">
        <is>
          <t>Swarm R&amp;D AI</t>
        </is>
      </c>
      <c r="D37" s="24" t="inlineStr">
        <is>
          <t>4%</t>
        </is>
      </c>
    </row>
    <row r="38" ht="15" customHeight="1" s="25">
      <c r="B38" s="24" t="inlineStr">
        <is>
          <t>Delivery at Scale</t>
        </is>
      </c>
      <c r="D38" s="24" t="inlineStr">
        <is>
          <t>34%</t>
        </is>
      </c>
    </row>
    <row r="39" ht="15" customHeight="1" s="25">
      <c r="B39" s="24" t="inlineStr">
        <is>
          <t>Sales &amp; Partners</t>
        </is>
      </c>
      <c r="D39" s="24" t="inlineStr">
        <is>
          <t>21%</t>
        </is>
      </c>
    </row>
    <row r="40" ht="15" customHeight="1" s="25">
      <c r="B40" s="24" t="inlineStr">
        <is>
          <t>Token Economy</t>
        </is>
      </c>
      <c r="D40" s="24" t="inlineStr">
        <is>
          <t>5%</t>
        </is>
      </c>
    </row>
    <row r="41" ht="15" customHeight="1" s="25">
      <c r="B41" s="24" t="inlineStr">
        <is>
          <t>Operating Costs</t>
        </is>
      </c>
      <c r="D41" s="24" t="inlineStr">
        <is>
          <t>20%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C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4" min="2" max="2"/>
    <col width="25" customWidth="1" style="24" min="3" max="3"/>
  </cols>
  <sheetData>
    <row r="1" ht="24.45" customHeight="1" s="25">
      <c r="B1" s="24" t="inlineStr">
        <is>
          <t>SOCIETE</t>
        </is>
      </c>
      <c r="C1" s="26" t="inlineStr">
        <is>
          <t>Swiss 6022</t>
        </is>
      </c>
    </row>
    <row r="2" ht="17.35" customHeight="1" s="25">
      <c r="B2" s="24" t="inlineStr">
        <is>
          <t>BUSINESS PLAN</t>
        </is>
      </c>
      <c r="C2" s="27" t="inlineStr">
        <is>
          <t>2026 - 2030</t>
        </is>
      </c>
    </row>
    <row r="4" ht="15" customHeight="1" s="25">
      <c r="B4" s="32" t="inlineStr">
        <is>
          <t>Token-powered SaaS for Agentic AI Teams in Insurance</t>
        </is>
      </c>
    </row>
    <row r="6" ht="15" customHeight="1" s="25">
      <c r="B6" s="29" t="inlineStr">
        <is>
          <t>SOMMAIRE BUSINESS PLAN</t>
        </is>
      </c>
      <c r="C6" s="24" t="inlineStr">
        <is>
          <t>Accueil</t>
        </is>
      </c>
    </row>
    <row r="8" ht="15" customHeight="1" s="25">
      <c r="B8" s="24" t="inlineStr">
        <is>
          <t>SETTINGS</t>
        </is>
      </c>
      <c r="C8" s="24" t="inlineStr">
        <is>
          <t>Parameters</t>
        </is>
      </c>
    </row>
    <row r="9" ht="15" customHeight="1" s="25">
      <c r="B9" s="24" t="inlineStr">
        <is>
          <t>KPI'S annuels</t>
        </is>
      </c>
      <c r="C9" s="24" t="inlineStr">
        <is>
          <t>KPIs</t>
        </is>
      </c>
    </row>
    <row r="11" ht="15" customHeight="1" s="25">
      <c r="B11" s="29" t="inlineStr">
        <is>
          <t>ETATS FINANCIERS</t>
        </is>
      </c>
    </row>
    <row r="12" ht="15" customHeight="1" s="25">
      <c r="B12" s="24" t="inlineStr">
        <is>
          <t>P&amp;L annuel</t>
        </is>
      </c>
      <c r="C12" s="24" t="inlineStr">
        <is>
          <t>P&amp;L</t>
        </is>
      </c>
    </row>
    <row r="13" ht="15" customHeight="1" s="25">
      <c r="B13" s="24" t="inlineStr">
        <is>
          <t>Cash Flow annuel</t>
        </is>
      </c>
      <c r="C13" s="24" t="inlineStr">
        <is>
          <t>CF</t>
        </is>
      </c>
    </row>
    <row r="15" ht="15" customHeight="1" s="25">
      <c r="B15" s="29" t="inlineStr">
        <is>
          <t>HYPOTHESES DE TRAVAIL</t>
        </is>
      </c>
    </row>
    <row r="16" ht="15" customHeight="1" s="25">
      <c r="B16" s="24" t="inlineStr">
        <is>
          <t>Key Assumptions</t>
        </is>
      </c>
      <c r="C16" s="24" t="inlineStr">
        <is>
          <t>Key Assumptions</t>
        </is>
      </c>
    </row>
    <row r="17" ht="15" customHeight="1" s="25">
      <c r="B17" s="24" t="inlineStr">
        <is>
          <t>Masse salariale</t>
        </is>
      </c>
      <c r="C17" s="24" t="inlineStr">
        <is>
          <t>Salaries</t>
        </is>
      </c>
    </row>
    <row r="18" ht="15" customHeight="1" s="25">
      <c r="B18" s="24" t="inlineStr">
        <is>
          <t>Ventes / Clients</t>
        </is>
      </c>
      <c r="C18" s="24" t="inlineStr">
        <is>
          <t>Sales</t>
        </is>
      </c>
    </row>
    <row r="19" ht="15" customHeight="1" s="25">
      <c r="B19" s="24" t="inlineStr">
        <is>
          <t>Operating Costs</t>
        </is>
      </c>
      <c r="C19" s="24" t="inlineStr">
        <is>
          <t>Costs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4" min="2" max="2"/>
    <col width="25" customWidth="1" style="24" min="3" max="3"/>
  </cols>
  <sheetData>
    <row r="2" ht="15" customHeight="1" s="25">
      <c r="B2" s="24" t="inlineStr">
        <is>
          <t>SOCIETE</t>
        </is>
      </c>
      <c r="C2" s="24" t="inlineStr">
        <is>
          <t>Swiss 6022</t>
        </is>
      </c>
    </row>
    <row r="3" ht="15" customHeight="1" s="25">
      <c r="B3" s="24" t="inlineStr">
        <is>
          <t>BUSINESS PLAN</t>
        </is>
      </c>
      <c r="C3" s="24" t="inlineStr">
        <is>
          <t>2026 - 2030</t>
        </is>
      </c>
    </row>
    <row r="5" ht="15" customHeight="1" s="25">
      <c r="B5" s="29" t="inlineStr">
        <is>
          <t>CREATION BP</t>
        </is>
      </c>
    </row>
    <row r="7" ht="15" customHeight="1" s="25">
      <c r="B7" s="24" t="inlineStr">
        <is>
          <t>Projections Start Date</t>
        </is>
      </c>
      <c r="C7" s="24" t="inlineStr">
        <is>
          <t>2026-01-01</t>
        </is>
      </c>
    </row>
    <row r="8" ht="15" customHeight="1" s="25">
      <c r="B8" s="24" t="inlineStr">
        <is>
          <t>Date de end du fichier</t>
        </is>
      </c>
      <c r="C8" s="24" t="inlineStr">
        <is>
          <t>2030-12-31</t>
        </is>
      </c>
    </row>
    <row r="10" ht="15" customHeight="1" s="25">
      <c r="B10" s="24" t="inlineStr">
        <is>
          <t>Start Year</t>
        </is>
      </c>
      <c r="C10" s="24" t="n">
        <v>2026</v>
      </c>
    </row>
    <row r="11" ht="15" customHeight="1" s="25">
      <c r="B11" s="24" t="inlineStr">
        <is>
          <t>Year end</t>
        </is>
      </c>
      <c r="C11" s="24" t="n">
        <v>2030</v>
      </c>
    </row>
    <row r="12" ht="15" customHeight="1" s="25">
      <c r="B12" s="24" t="inlineStr">
        <is>
          <t>Duration</t>
        </is>
      </c>
      <c r="C12" s="24" t="n">
        <v>5</v>
      </c>
    </row>
    <row r="14" ht="15" customHeight="1" s="25">
      <c r="B14" s="29" t="inlineStr">
        <is>
          <t>Growth Drivers:</t>
        </is>
      </c>
    </row>
    <row r="15" ht="15" customHeight="1" s="25">
      <c r="C15" s="24" t="inlineStr">
        <is>
          <t>GD1 - Enterprise Platform</t>
        </is>
      </c>
    </row>
    <row r="16" ht="15" customHeight="1" s="25">
      <c r="C16" s="24" t="inlineStr">
        <is>
          <t>GD2 - Swarm R&amp;D AI</t>
        </is>
      </c>
    </row>
    <row r="17" ht="15" customHeight="1" s="25">
      <c r="C17" s="24" t="inlineStr">
        <is>
          <t>GD3 - Delivery at Scale</t>
        </is>
      </c>
    </row>
    <row r="18" ht="15" customHeight="1" s="25">
      <c r="C18" s="24" t="inlineStr">
        <is>
          <t>GD4 - Sales &amp; Partners</t>
        </is>
      </c>
    </row>
    <row r="19" ht="15" customHeight="1" s="25">
      <c r="C19" s="24" t="inlineStr">
        <is>
          <t>GD5 - Token Economy</t>
        </is>
      </c>
    </row>
    <row r="20" ht="15" customHeight="1" s="25">
      <c r="C20" s="24" t="inlineStr">
        <is>
          <t>Operating Costs</t>
        </is>
      </c>
    </row>
    <row r="22" ht="15" customHeight="1" s="25">
      <c r="B22" s="24" t="inlineStr">
        <is>
          <t>Exchange rate USD/EUR</t>
        </is>
      </c>
      <c r="C22" s="33" t="n">
        <v>0.9</v>
      </c>
    </row>
    <row r="23" ht="15" customHeight="1" s="25">
      <c r="B23" s="24" t="inlineStr">
        <is>
          <t>Token initial price (€)</t>
        </is>
      </c>
      <c r="C23" s="33" t="n">
        <v>0.005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4:H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4" min="2" max="2"/>
    <col width="25" customWidth="1" style="24" min="3" max="3"/>
    <col width="12" customWidth="1" style="24" min="4" max="8"/>
  </cols>
  <sheetData>
    <row r="4" ht="15" customHeight="1" s="25">
      <c r="B4" s="24" t="inlineStr">
        <is>
          <t>SOCIETE</t>
        </is>
      </c>
      <c r="C4" s="24" t="inlineStr">
        <is>
          <t>Swiss 6022</t>
        </is>
      </c>
    </row>
    <row r="5" ht="15" customHeight="1" s="25">
      <c r="B5" s="24" t="inlineStr">
        <is>
          <t>BUSINESS PLAN</t>
        </is>
      </c>
      <c r="C5" s="24" t="inlineStr">
        <is>
          <t>2026 - 2030</t>
        </is>
      </c>
    </row>
    <row r="7" ht="17.35" customHeight="1" s="25">
      <c r="D7" s="34" t="n">
        <v>2026</v>
      </c>
      <c r="E7" s="34" t="n">
        <v>2027</v>
      </c>
      <c r="F7" s="34" t="n">
        <v>2028</v>
      </c>
      <c r="G7" s="34" t="n">
        <v>2029</v>
      </c>
      <c r="H7" s="34" t="n">
        <v>2030</v>
      </c>
    </row>
    <row r="9" ht="15" customHeight="1" s="25">
      <c r="B9" s="31" t="inlineStr">
        <is>
          <t>Revenue (K€)</t>
        </is>
      </c>
      <c r="C9" s="31" t="inlineStr">
        <is>
          <t>Revenue (K€)</t>
        </is>
      </c>
      <c r="D9" s="24" t="n">
        <v>1540</v>
      </c>
      <c r="E9" s="24" t="n">
        <v>4431</v>
      </c>
      <c r="F9" s="24" t="n">
        <v>10071</v>
      </c>
      <c r="G9" s="24" t="n">
        <v>18587</v>
      </c>
      <c r="H9" s="24" t="n">
        <v>33376</v>
      </c>
    </row>
    <row r="10" ht="15" customHeight="1" s="25">
      <c r="B10" s="24" t="inlineStr">
        <is>
          <t xml:space="preserve">  Setup fees</t>
        </is>
      </c>
      <c r="C10" s="24" t="inlineStr">
        <is>
          <t>Setup fees</t>
        </is>
      </c>
      <c r="D10" s="24" t="n">
        <v>980</v>
      </c>
      <c r="E10" s="24" t="n">
        <v>2600</v>
      </c>
      <c r="F10" s="24" t="n">
        <v>5500</v>
      </c>
      <c r="G10" s="24" t="n">
        <v>9200</v>
      </c>
      <c r="H10" s="24" t="n">
        <v>14700</v>
      </c>
    </row>
    <row r="11" ht="15" customHeight="1" s="25">
      <c r="B11" s="24" t="inlineStr">
        <is>
          <t xml:space="preserve">  Hosting &amp; Support</t>
        </is>
      </c>
      <c r="C11" s="24" t="inlineStr">
        <is>
          <t>Hosting &amp; Support</t>
        </is>
      </c>
      <c r="D11" s="24" t="n">
        <v>492</v>
      </c>
      <c r="E11" s="24" t="n">
        <v>1584</v>
      </c>
      <c r="F11" s="24" t="n">
        <v>3888</v>
      </c>
      <c r="G11" s="24" t="n">
        <v>7728</v>
      </c>
      <c r="H11" s="24" t="n">
        <v>13848</v>
      </c>
    </row>
    <row r="12" ht="15" customHeight="1" s="25">
      <c r="B12" s="24" t="inlineStr">
        <is>
          <t xml:space="preserve">  Rental fees</t>
        </is>
      </c>
      <c r="C12" s="24" t="inlineStr">
        <is>
          <t>Rental fees</t>
        </is>
      </c>
      <c r="D12" s="24" t="n">
        <v>68</v>
      </c>
      <c r="E12" s="24" t="n">
        <v>247</v>
      </c>
      <c r="F12" s="24" t="n">
        <v>683</v>
      </c>
      <c r="G12" s="24" t="n">
        <v>1659</v>
      </c>
      <c r="H12" s="24" t="n">
        <v>4828</v>
      </c>
    </row>
    <row r="14" ht="15" customHeight="1" s="25">
      <c r="B14" s="31" t="inlineStr">
        <is>
          <t>Costs (K€)</t>
        </is>
      </c>
      <c r="C14" s="31" t="inlineStr">
        <is>
          <t>Costs (K€)</t>
        </is>
      </c>
      <c r="D14" s="24" t="n">
        <v>2100</v>
      </c>
      <c r="E14" s="24" t="n">
        <v>3100</v>
      </c>
      <c r="F14" s="24" t="n">
        <v>3700</v>
      </c>
      <c r="G14" s="24" t="n">
        <v>4700</v>
      </c>
      <c r="H14" s="24" t="n">
        <v>5100</v>
      </c>
    </row>
    <row r="15" ht="15" customHeight="1" s="25">
      <c r="B15" s="24" t="inlineStr">
        <is>
          <t xml:space="preserve">  GD1 - Platform</t>
        </is>
      </c>
      <c r="C15" s="24" t="inlineStr">
        <is>
          <t>GD1 - Platform</t>
        </is>
      </c>
      <c r="D15" s="24" t="n">
        <v>530</v>
      </c>
      <c r="E15" s="24" t="n">
        <v>750</v>
      </c>
      <c r="F15" s="24" t="n">
        <v>630</v>
      </c>
      <c r="G15" s="24" t="n">
        <v>660</v>
      </c>
      <c r="H15" s="24" t="n">
        <v>660</v>
      </c>
    </row>
    <row r="16" ht="15" customHeight="1" s="25">
      <c r="B16" s="24" t="inlineStr">
        <is>
          <t xml:space="preserve">  GD2 - Swarm R&amp;D</t>
        </is>
      </c>
      <c r="C16" s="24" t="inlineStr">
        <is>
          <t>GD2 - R&amp;D</t>
        </is>
      </c>
      <c r="D16" s="24" t="n">
        <v>100</v>
      </c>
      <c r="E16" s="24" t="n">
        <v>100</v>
      </c>
      <c r="F16" s="24" t="n">
        <v>100</v>
      </c>
      <c r="G16" s="24" t="n">
        <v>200</v>
      </c>
      <c r="H16" s="24" t="n">
        <v>200</v>
      </c>
    </row>
    <row r="17" ht="15" customHeight="1" s="25">
      <c r="B17" s="24" t="inlineStr">
        <is>
          <t xml:space="preserve">  GD3 - Delivery</t>
        </is>
      </c>
      <c r="C17" s="24" t="inlineStr">
        <is>
          <t>GD3 - Delivery</t>
        </is>
      </c>
      <c r="D17" s="24" t="n">
        <v>390</v>
      </c>
      <c r="E17" s="24" t="n">
        <v>810</v>
      </c>
      <c r="F17" s="24" t="n">
        <v>1230</v>
      </c>
      <c r="G17" s="24" t="n">
        <v>1740</v>
      </c>
      <c r="H17" s="24" t="n">
        <v>2180</v>
      </c>
    </row>
    <row r="18" ht="15" customHeight="1" s="25">
      <c r="B18" s="24" t="inlineStr">
        <is>
          <t xml:space="preserve">  GD4 - Sales &amp; Partners</t>
        </is>
      </c>
      <c r="C18" s="24" t="inlineStr">
        <is>
          <t>GD4 - Sales</t>
        </is>
      </c>
      <c r="D18" s="24" t="n">
        <v>380</v>
      </c>
      <c r="E18" s="24" t="n">
        <v>530</v>
      </c>
      <c r="F18" s="24" t="n">
        <v>810</v>
      </c>
      <c r="G18" s="24" t="n">
        <v>1090</v>
      </c>
      <c r="H18" s="24" t="n">
        <v>1090</v>
      </c>
    </row>
    <row r="19" ht="15" customHeight="1" s="25">
      <c r="B19" s="24" t="inlineStr">
        <is>
          <t xml:space="preserve">  GD5 - Token Economy</t>
        </is>
      </c>
      <c r="C19" s="24" t="inlineStr">
        <is>
          <t>GD5 - Token</t>
        </is>
      </c>
      <c r="D19" s="24" t="n">
        <v>50</v>
      </c>
      <c r="E19" s="24" t="n">
        <v>200</v>
      </c>
      <c r="F19" s="24" t="n">
        <v>200</v>
      </c>
      <c r="G19" s="24" t="n">
        <v>200</v>
      </c>
      <c r="H19" s="24" t="n">
        <v>200</v>
      </c>
    </row>
    <row r="20" ht="15" customHeight="1" s="25">
      <c r="B20" s="24" t="inlineStr">
        <is>
          <t xml:space="preserve">  Operating Costs</t>
        </is>
      </c>
      <c r="C20" s="24" t="inlineStr">
        <is>
          <t>Operating</t>
        </is>
      </c>
      <c r="D20" s="24" t="n">
        <v>700</v>
      </c>
      <c r="E20" s="24" t="n">
        <v>700</v>
      </c>
      <c r="F20" s="24" t="n">
        <v>800</v>
      </c>
      <c r="G20" s="24" t="n">
        <v>800</v>
      </c>
      <c r="H20" s="24" t="n">
        <v>800</v>
      </c>
    </row>
    <row r="22" ht="15" customHeight="1" s="25">
      <c r="B22" s="31" t="inlineStr">
        <is>
          <t>EBITDA (K€)</t>
        </is>
      </c>
      <c r="C22" s="31" t="inlineStr">
        <is>
          <t>EBITDA (K€)</t>
        </is>
      </c>
      <c r="D22" s="24" t="n">
        <v>-560</v>
      </c>
      <c r="E22" s="24" t="n">
        <v>1331</v>
      </c>
      <c r="F22" s="24" t="n">
        <v>6371</v>
      </c>
      <c r="G22" s="24" t="n">
        <v>13887</v>
      </c>
      <c r="H22" s="24" t="n">
        <v>28276</v>
      </c>
    </row>
    <row r="23" ht="15" customHeight="1" s="25">
      <c r="B23" s="31" t="inlineStr">
        <is>
          <t>EBITDA margin %</t>
        </is>
      </c>
      <c r="C23" s="31" t="inlineStr">
        <is>
          <t>EBITDA margin %</t>
        </is>
      </c>
      <c r="D23" s="35" t="n">
        <v>-0.36</v>
      </c>
      <c r="E23" s="35" t="n">
        <v>0.3</v>
      </c>
      <c r="F23" s="35" t="n">
        <v>0.63</v>
      </c>
      <c r="G23" s="35" t="n">
        <v>0.75</v>
      </c>
      <c r="H23" s="35" t="n">
        <v>0.85</v>
      </c>
    </row>
    <row r="25" ht="15" customHeight="1" s="25">
      <c r="B25" s="31" t="inlineStr">
        <is>
          <t>Effectifs (ETP)</t>
        </is>
      </c>
      <c r="C25" s="31" t="inlineStr">
        <is>
          <t>FTE</t>
        </is>
      </c>
      <c r="D25" s="24" t="n">
        <v>11</v>
      </c>
      <c r="E25" s="24" t="n">
        <v>16</v>
      </c>
      <c r="F25" s="24" t="n">
        <v>21</v>
      </c>
      <c r="G25" s="24" t="n">
        <v>28</v>
      </c>
      <c r="H25" s="24" t="n">
        <v>33</v>
      </c>
    </row>
    <row r="26" ht="15" customHeight="1" s="25">
      <c r="B26" s="24" t="inlineStr">
        <is>
          <t xml:space="preserve">  GD1 - Platform</t>
        </is>
      </c>
      <c r="C26" s="24" t="inlineStr">
        <is>
          <t>GD1</t>
        </is>
      </c>
      <c r="D26" s="24" t="n">
        <v>2</v>
      </c>
      <c r="E26" s="24" t="n">
        <v>3</v>
      </c>
      <c r="F26" s="24" t="n">
        <v>3</v>
      </c>
      <c r="G26" s="24" t="n">
        <v>3</v>
      </c>
      <c r="H26" s="24" t="n">
        <v>3</v>
      </c>
    </row>
    <row r="27" ht="15" customHeight="1" s="25">
      <c r="B27" s="24" t="inlineStr">
        <is>
          <t xml:space="preserve">  GD2 - Swarm R&amp;D</t>
        </is>
      </c>
      <c r="C27" s="24" t="inlineStr">
        <is>
          <t>GD2</t>
        </is>
      </c>
      <c r="D27" s="24" t="n">
        <v>1</v>
      </c>
      <c r="E27" s="24" t="n">
        <v>1</v>
      </c>
      <c r="F27" s="24" t="n">
        <v>1</v>
      </c>
      <c r="G27" s="24" t="n">
        <v>2</v>
      </c>
      <c r="H27" s="24" t="n">
        <v>2</v>
      </c>
    </row>
    <row r="28" ht="15" customHeight="1" s="25">
      <c r="B28" s="24" t="inlineStr">
        <is>
          <t xml:space="preserve">  GD3 - Delivery</t>
        </is>
      </c>
      <c r="C28" s="24" t="inlineStr">
        <is>
          <t>GD3</t>
        </is>
      </c>
      <c r="D28" s="24" t="n">
        <v>3</v>
      </c>
      <c r="E28" s="24" t="n">
        <v>5</v>
      </c>
      <c r="F28" s="24" t="n">
        <v>8</v>
      </c>
      <c r="G28" s="24" t="n">
        <v>13</v>
      </c>
      <c r="H28" s="24" t="n">
        <v>17</v>
      </c>
    </row>
    <row r="29" ht="15" customHeight="1" s="25">
      <c r="B29" s="24" t="inlineStr">
        <is>
          <t xml:space="preserve">  GD4 - Sales &amp; Partners</t>
        </is>
      </c>
      <c r="C29" s="24" t="inlineStr">
        <is>
          <t>GD4</t>
        </is>
      </c>
      <c r="D29" s="24" t="n">
        <v>3</v>
      </c>
      <c r="E29" s="24" t="n">
        <v>4</v>
      </c>
      <c r="F29" s="24" t="n">
        <v>6</v>
      </c>
      <c r="G29" s="24" t="n">
        <v>8</v>
      </c>
      <c r="H29" s="24" t="n">
        <v>8</v>
      </c>
    </row>
    <row r="30" ht="15" customHeight="1" s="25">
      <c r="B30" s="24" t="inlineStr">
        <is>
          <t xml:space="preserve">  GD5 - Token Economy</t>
        </is>
      </c>
      <c r="C30" s="24" t="inlineStr">
        <is>
          <t>GD5</t>
        </is>
      </c>
      <c r="D30" s="24" t="n">
        <v>0</v>
      </c>
      <c r="E30" s="24" t="n">
        <v>1</v>
      </c>
      <c r="F30" s="24" t="n">
        <v>1</v>
      </c>
      <c r="G30" s="24" t="n">
        <v>1</v>
      </c>
      <c r="H30" s="24" t="n">
        <v>1</v>
      </c>
    </row>
    <row r="31" ht="15" customHeight="1" s="25">
      <c r="B31" s="24" t="inlineStr">
        <is>
          <t xml:space="preserve">  Operating (CEO + CSO)</t>
        </is>
      </c>
      <c r="C31" s="24" t="inlineStr">
        <is>
          <t>Operating</t>
        </is>
      </c>
      <c r="D31" s="24" t="n">
        <v>2</v>
      </c>
      <c r="E31" s="24" t="n">
        <v>2</v>
      </c>
      <c r="F31" s="24" t="n">
        <v>2</v>
      </c>
      <c r="G31" s="24" t="n">
        <v>2</v>
      </c>
      <c r="H31" s="24" t="n">
        <v>2</v>
      </c>
    </row>
    <row r="33" ht="15" customHeight="1" s="25">
      <c r="B33" s="31" t="inlineStr">
        <is>
          <t>Clients (cumul)</t>
        </is>
      </c>
      <c r="C33" s="31" t="inlineStr">
        <is>
          <t>Total Customers (#)</t>
        </is>
      </c>
      <c r="D33" s="24" t="n">
        <v>11</v>
      </c>
      <c r="E33" s="24" t="n">
        <v>31</v>
      </c>
      <c r="F33" s="24" t="n">
        <v>71</v>
      </c>
      <c r="G33" s="24" t="n">
        <v>137</v>
      </c>
      <c r="H33" s="24" t="n">
        <v>237</v>
      </c>
    </row>
    <row r="34" ht="15" customHeight="1" s="25">
      <c r="B34" s="24" t="inlineStr">
        <is>
          <t xml:space="preserve">  Starter</t>
        </is>
      </c>
      <c r="C34" s="24" t="inlineStr">
        <is>
          <t>Starter</t>
        </is>
      </c>
      <c r="D34" s="24" t="n">
        <v>6</v>
      </c>
      <c r="E34" s="24" t="n">
        <v>16</v>
      </c>
      <c r="F34" s="24" t="n">
        <v>36</v>
      </c>
      <c r="G34" s="24" t="n">
        <v>66</v>
      </c>
      <c r="H34" s="24" t="n">
        <v>106</v>
      </c>
    </row>
    <row r="35" ht="15" customHeight="1" s="25">
      <c r="B35" s="24" t="inlineStr">
        <is>
          <t xml:space="preserve">  Growth</t>
        </is>
      </c>
      <c r="C35" s="24" t="inlineStr">
        <is>
          <t>Growth</t>
        </is>
      </c>
      <c r="D35" s="24" t="n">
        <v>2</v>
      </c>
      <c r="E35" s="24" t="n">
        <v>8</v>
      </c>
      <c r="F35" s="24" t="n">
        <v>18</v>
      </c>
      <c r="G35" s="24" t="n">
        <v>38</v>
      </c>
      <c r="H35" s="24" t="n">
        <v>68</v>
      </c>
    </row>
    <row r="36" ht="15" customHeight="1" s="25">
      <c r="B36" s="24" t="inlineStr">
        <is>
          <t xml:space="preserve">  Scale</t>
        </is>
      </c>
      <c r="C36" s="24" t="inlineStr">
        <is>
          <t>Scale</t>
        </is>
      </c>
      <c r="D36" s="24" t="n">
        <v>1</v>
      </c>
      <c r="E36" s="24" t="n">
        <v>4</v>
      </c>
      <c r="F36" s="24" t="n">
        <v>10</v>
      </c>
      <c r="G36" s="24" t="n">
        <v>20</v>
      </c>
      <c r="H36" s="24" t="n">
        <v>40</v>
      </c>
    </row>
    <row r="37" ht="15" customHeight="1" s="25">
      <c r="B37" s="24" t="inlineStr">
        <is>
          <t xml:space="preserve">  Enterprise</t>
        </is>
      </c>
      <c r="C37" s="24" t="inlineStr">
        <is>
          <t>Enterprise</t>
        </is>
      </c>
      <c r="D37" s="24" t="n">
        <v>0</v>
      </c>
      <c r="E37" s="24" t="n">
        <v>1</v>
      </c>
      <c r="F37" s="24" t="n">
        <v>5</v>
      </c>
      <c r="G37" s="24" t="n">
        <v>11</v>
      </c>
      <c r="H37" s="24" t="n">
        <v>21</v>
      </c>
    </row>
    <row r="39" ht="15" customHeight="1" s="25">
      <c r="B39" s="31" t="inlineStr">
        <is>
          <t>Token Price (€)</t>
        </is>
      </c>
      <c r="C39" s="31" t="inlineStr">
        <is>
          <t>Token Price (€)</t>
        </is>
      </c>
      <c r="D39" s="24" t="n">
        <v>0.005</v>
      </c>
      <c r="E39" s="24" t="n">
        <v>0.01</v>
      </c>
      <c r="F39" s="24" t="n">
        <v>0.025</v>
      </c>
      <c r="G39" s="24" t="n">
        <v>0.067</v>
      </c>
      <c r="H39" s="24" t="n">
        <v>0.221</v>
      </c>
    </row>
    <row r="40" ht="15" customHeight="1" s="25">
      <c r="B40" s="31" t="inlineStr">
        <is>
          <t>Token Market Cap (M€)</t>
        </is>
      </c>
      <c r="C40" s="31" t="inlineStr">
        <is>
          <t>Market Cap (M€)</t>
        </is>
      </c>
      <c r="D40" s="24" t="n">
        <v>5</v>
      </c>
      <c r="E40" s="24" t="n">
        <v>10</v>
      </c>
      <c r="F40" s="24" t="n">
        <v>25</v>
      </c>
      <c r="G40" s="24" t="n">
        <v>67</v>
      </c>
      <c r="H40" s="24" t="n">
        <v>221</v>
      </c>
    </row>
    <row r="41" ht="15" customHeight="1" s="25">
      <c r="B41" s="31" t="inlineStr">
        <is>
          <t>Swiss 6022 Token Assets (M€)</t>
        </is>
      </c>
      <c r="C41" s="31" t="inlineStr">
        <is>
          <t>Token Assets (M€)</t>
        </is>
      </c>
      <c r="D41" s="24" t="n">
        <v>2</v>
      </c>
      <c r="E41" s="24" t="n">
        <v>4</v>
      </c>
      <c r="F41" s="24" t="n">
        <v>10</v>
      </c>
      <c r="G41" s="24" t="n">
        <v>27</v>
      </c>
      <c r="H41" s="24" t="n">
        <v>88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F1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4" min="2" max="2"/>
    <col width="20" customWidth="1" style="24" min="3" max="3"/>
    <col width="18" customWidth="1" style="24" min="4" max="4"/>
    <col width="15" customWidth="1" style="24" min="5" max="5"/>
    <col width="12" customWidth="1" style="24" min="6" max="6"/>
  </cols>
  <sheetData>
    <row r="1"/>
    <row r="2" ht="15" customHeight="1" s="25">
      <c r="B2" s="32" t="inlineStr">
        <is>
          <t>This tab displays the key assumptions of the Swiss 6022 business model</t>
        </is>
      </c>
    </row>
    <row r="3"/>
    <row r="4"/>
    <row r="5" ht="15" customHeight="1" s="25">
      <c r="B5" s="24" t="inlineStr">
        <is>
          <t>Total funding needs</t>
        </is>
      </c>
      <c r="D5" s="33" t="inlineStr">
        <is>
          <t>€3-4M</t>
        </is>
      </c>
    </row>
    <row r="6"/>
    <row r="7"/>
    <row r="8" ht="15" customHeight="1" s="25">
      <c r="B8" s="29" t="inlineStr">
        <is>
          <t>TOKEN ECONOMICS</t>
        </is>
      </c>
    </row>
    <row r="9">
      <c r="B9" s="24" t="inlineStr">
        <is>
          <t>Token price assumption timing</t>
        </is>
      </c>
      <c r="C9" s="24" t="inlineStr">
        <is>
          <t>Beginning of period</t>
        </is>
      </c>
      <c r="D9" s="68" t="inlineStr">
        <is>
          <t>Conservative approach: uses start-of-year price (not end or average)</t>
        </is>
      </c>
    </row>
    <row r="10" ht="15" customHeight="1" s="25">
      <c r="B10" s="24" t="inlineStr">
        <is>
          <t>Initial token price (2026)</t>
        </is>
      </c>
      <c r="D10" s="24" t="n">
        <v>0.005</v>
      </c>
      <c r="E10" s="24" t="inlineStr">
        <is>
          <t>€/token</t>
        </is>
      </c>
    </row>
    <row r="11" ht="15" customHeight="1" s="25">
      <c r="B11" s="24" t="inlineStr">
        <is>
          <t>Total token supply</t>
        </is>
      </c>
      <c r="D11" s="24" t="inlineStr">
        <is>
          <t>1,000,000,000</t>
        </is>
      </c>
      <c r="E11" s="24" t="inlineStr">
        <is>
          <t>tokens (fixed)</t>
        </is>
      </c>
    </row>
    <row r="12" ht="15" customHeight="1" s="25">
      <c r="B12" s="24" t="inlineStr">
        <is>
          <t>Swiss 6022 token holdings</t>
        </is>
      </c>
      <c r="D12" s="24" t="inlineStr">
        <is>
          <t>~40%</t>
        </is>
      </c>
      <c r="E12" s="24" t="inlineStr">
        <is>
          <t>of total supply</t>
        </is>
      </c>
    </row>
    <row r="13" ht="15" customHeight="1" s="25">
      <c r="B13" s="24" t="inlineStr">
        <is>
          <t>Annual threshold reduction</t>
        </is>
      </c>
      <c r="D13" s="24" t="inlineStr">
        <is>
          <t>-50%</t>
        </is>
      </c>
      <c r="E13" s="24" t="inlineStr">
        <is>
          <t>tokens/tier/year</t>
        </is>
      </c>
    </row>
    <row r="14"/>
    <row r="15" ht="15" customHeight="1" s="25">
      <c r="B15" s="29" t="inlineStr">
        <is>
          <t>STAKE-TO-ACCESS THRESHOLDS (2026)</t>
        </is>
      </c>
    </row>
    <row r="16"/>
    <row r="17" ht="15" customHeight="1" s="25">
      <c r="B17" s="31" t="inlineStr">
        <is>
          <t>Tier</t>
        </is>
      </c>
      <c r="C17" s="31" t="inlineStr">
        <is>
          <t>Tokens Required</t>
        </is>
      </c>
      <c r="D17" s="31" t="inlineStr">
        <is>
          <t>€ Value (2026)</t>
        </is>
      </c>
      <c r="E17" s="31" t="inlineStr">
        <is>
          <t>Max Agents</t>
        </is>
      </c>
    </row>
    <row r="18" ht="15" customHeight="1" s="25">
      <c r="B18" s="24" t="inlineStr">
        <is>
          <t>Starter</t>
        </is>
      </c>
      <c r="C18" s="36" t="n">
        <v>1000000</v>
      </c>
      <c r="D18" s="37" t="n">
        <v>5000</v>
      </c>
      <c r="E18" s="24" t="n">
        <v>20</v>
      </c>
    </row>
    <row r="19" ht="15" customHeight="1" s="25">
      <c r="B19" s="24" t="inlineStr">
        <is>
          <t>Growth</t>
        </is>
      </c>
      <c r="C19" s="36" t="n">
        <v>3000000</v>
      </c>
      <c r="D19" s="37" t="n">
        <v>15000</v>
      </c>
      <c r="E19" s="24" t="n">
        <v>100</v>
      </c>
    </row>
    <row r="20" ht="15" customHeight="1" s="25">
      <c r="B20" s="24" t="inlineStr">
        <is>
          <t>Scale</t>
        </is>
      </c>
      <c r="C20" s="36" t="n">
        <v>7500000</v>
      </c>
      <c r="D20" s="37" t="n">
        <v>37500</v>
      </c>
      <c r="E20" s="24" t="n">
        <v>500</v>
      </c>
    </row>
    <row r="21" ht="15" customHeight="1" s="25">
      <c r="B21" s="24" t="inlineStr">
        <is>
          <t>Enterprise</t>
        </is>
      </c>
      <c r="C21" s="36" t="n">
        <v>9000000</v>
      </c>
      <c r="D21" s="37" t="n">
        <v>45000</v>
      </c>
      <c r="E21" s="24" t="inlineStr">
        <is>
          <t>500+</t>
        </is>
      </c>
    </row>
    <row r="22"/>
    <row r="23"/>
    <row r="24" ht="15" customHeight="1" s="25">
      <c r="B24" s="29" t="inlineStr">
        <is>
          <t>PRICING STRUCTURE</t>
        </is>
      </c>
    </row>
    <row r="25"/>
    <row r="26" ht="15" customHeight="1" s="25">
      <c r="B26" s="31" t="inlineStr">
        <is>
          <t>Tier</t>
        </is>
      </c>
      <c r="C26" s="31" t="inlineStr">
        <is>
          <t>Setup (one-off)</t>
        </is>
      </c>
      <c r="D26" s="31" t="inlineStr">
        <is>
          <t>Hosting/year</t>
        </is>
      </c>
      <c r="E26" s="31" t="inlineStr">
        <is>
          <t>Rental Y1</t>
        </is>
      </c>
      <c r="F26" s="31" t="inlineStr">
        <is>
          <t>Rental Yn</t>
        </is>
      </c>
    </row>
    <row r="27" ht="15" customHeight="1" s="25">
      <c r="B27" s="24" t="inlineStr">
        <is>
          <t>Starter</t>
        </is>
      </c>
      <c r="C27" s="37" t="n">
        <v>80000</v>
      </c>
      <c r="D27" s="37" t="n">
        <v>36000</v>
      </c>
      <c r="E27" s="24" t="inlineStr">
        <is>
          <t>100%</t>
        </is>
      </c>
      <c r="F27" s="24" t="inlineStr">
        <is>
          <t>70%</t>
        </is>
      </c>
    </row>
    <row r="28" ht="15" customHeight="1" s="25">
      <c r="B28" s="24" t="inlineStr">
        <is>
          <t>Growth</t>
        </is>
      </c>
      <c r="C28" s="37" t="n">
        <v>150000</v>
      </c>
      <c r="D28" s="37" t="n">
        <v>60000</v>
      </c>
      <c r="E28" s="24" t="inlineStr">
        <is>
          <t>100%</t>
        </is>
      </c>
      <c r="F28" s="24" t="inlineStr">
        <is>
          <t>70%</t>
        </is>
      </c>
    </row>
    <row r="29" ht="15" customHeight="1" s="25">
      <c r="B29" s="24" t="inlineStr">
        <is>
          <t>Scale</t>
        </is>
      </c>
      <c r="C29" s="37" t="n">
        <v>200000</v>
      </c>
      <c r="D29" s="37" t="n">
        <v>84000</v>
      </c>
      <c r="E29" s="24" t="inlineStr">
        <is>
          <t>100%</t>
        </is>
      </c>
      <c r="F29" s="24" t="inlineStr">
        <is>
          <t>70%</t>
        </is>
      </c>
    </row>
    <row r="30" ht="15" customHeight="1" s="25">
      <c r="B30" s="24" t="inlineStr">
        <is>
          <t>Enterprise</t>
        </is>
      </c>
      <c r="C30" s="37" t="n">
        <v>300000</v>
      </c>
      <c r="D30" s="37" t="n">
        <v>120000</v>
      </c>
      <c r="E30" s="24" t="inlineStr">
        <is>
          <t>100%</t>
        </is>
      </c>
      <c r="F30" s="24" t="inlineStr">
        <is>
          <t>70%</t>
        </is>
      </c>
    </row>
    <row r="31"/>
    <row r="32"/>
    <row r="33" ht="15" customHeight="1" s="25">
      <c r="B33" s="29" t="inlineStr">
        <is>
          <t>CLIENT ACQUISITION PLAN</t>
        </is>
      </c>
    </row>
    <row r="34"/>
    <row r="35" ht="15" customHeight="1" s="25">
      <c r="B35" s="31" t="inlineStr">
        <is>
          <t>Year</t>
        </is>
      </c>
      <c r="C35" s="31" t="inlineStr">
        <is>
          <t>New Clients</t>
        </is>
      </c>
      <c r="D35" s="31" t="inlineStr">
        <is>
          <t>Cumulative</t>
        </is>
      </c>
      <c r="E35" s="31" t="inlineStr">
        <is>
          <t>Rental Mix</t>
        </is>
      </c>
    </row>
    <row r="36" ht="15" customHeight="1" s="25">
      <c r="B36" s="24" t="n">
        <v>2026</v>
      </c>
      <c r="C36" s="24" t="n">
        <v>9</v>
      </c>
      <c r="D36" s="24" t="n">
        <v>9</v>
      </c>
      <c r="E36" s="24" t="inlineStr">
        <is>
          <t>55%</t>
        </is>
      </c>
    </row>
    <row r="37" ht="15" customHeight="1" s="25">
      <c r="B37" s="24" t="n">
        <v>2027</v>
      </c>
      <c r="C37" s="24" t="n">
        <v>20</v>
      </c>
      <c r="D37" s="24" t="n">
        <v>29</v>
      </c>
      <c r="E37" s="24" t="inlineStr">
        <is>
          <t>55%</t>
        </is>
      </c>
    </row>
    <row r="38" ht="15" customHeight="1" s="25">
      <c r="B38" s="24" t="n">
        <v>2028</v>
      </c>
      <c r="C38" s="24" t="n">
        <v>40</v>
      </c>
      <c r="D38" s="24" t="n">
        <v>69</v>
      </c>
      <c r="E38" s="24" t="inlineStr">
        <is>
          <t>52%</t>
        </is>
      </c>
    </row>
    <row r="39" ht="15" customHeight="1" s="25">
      <c r="B39" s="24" t="n">
        <v>2029</v>
      </c>
      <c r="C39" s="24" t="n">
        <v>66</v>
      </c>
      <c r="D39" s="24" t="n">
        <v>135</v>
      </c>
      <c r="E39" s="24" t="inlineStr">
        <is>
          <t>50%</t>
        </is>
      </c>
    </row>
    <row r="40" ht="15" customHeight="1" s="25">
      <c r="B40" s="24" t="n">
        <v>2030</v>
      </c>
      <c r="C40" s="24" t="n">
        <v>100</v>
      </c>
      <c r="D40" s="24" t="n">
        <v>235</v>
      </c>
      <c r="E40" s="24" t="inlineStr">
        <is>
          <t>50%</t>
        </is>
      </c>
    </row>
    <row r="41">
      <c r="B41" s="79" t="inlineStr">
        <is>
          <t>JURIDICTION &amp; TAX</t>
        </is>
      </c>
    </row>
    <row r="42">
      <c r="B42" s="24" t="inlineStr">
        <is>
          <t>Headquarters</t>
        </is>
      </c>
      <c r="C42" s="24" t="inlineStr">
        <is>
          <t>Switzerland, Canton of Fribourg</t>
        </is>
      </c>
    </row>
    <row r="43">
      <c r="B43" s="24" t="inlineStr">
        <is>
          <t>Rate IS effectif</t>
        </is>
      </c>
      <c r="C43" s="80" t="n">
        <v>0.1372</v>
      </c>
      <c r="D43" s="24" t="inlineStr">
        <is>
          <t>(Federal + Cantonal + Municipal)</t>
        </is>
      </c>
    </row>
    <row r="44">
      <c r="B44" s="24" t="inlineStr">
        <is>
          <t>Loss Carryforward</t>
        </is>
      </c>
      <c r="C44" s="24" t="inlineStr">
        <is>
          <t>7 years</t>
        </is>
      </c>
      <c r="D44" s="24" t="inlineStr">
        <is>
          <t>(Droit suisse)</t>
        </is>
      </c>
    </row>
    <row r="45">
      <c r="B45" s="24" t="inlineStr">
        <is>
          <t>Costs sociales</t>
        </is>
      </c>
      <c r="C45" s="24" t="inlineStr">
        <is>
          <t>~15%</t>
        </is>
      </c>
      <c r="D45" s="24" t="inlineStr">
        <is>
          <t>(AVS/AI/APG/AC/LAA/LPP)</t>
        </is>
      </c>
    </row>
    <row r="46">
      <c r="B46" s="79" t="inlineStr">
        <is>
          <t>CHURN ASSUMPTIONS (included in model)</t>
        </is>
      </c>
    </row>
    <row r="47">
      <c r="B47" s="24" t="inlineStr">
        <is>
          <t>Rate de churn annuel</t>
        </is>
      </c>
      <c r="C47" s="81" t="n">
        <v>0.1</v>
      </c>
      <c r="D47" s="24" t="inlineStr">
        <is>
          <t>Applied on existing client base</t>
        </is>
      </c>
    </row>
    <row r="48">
      <c r="B48" s="24" t="inlineStr">
        <is>
          <t>Clients lost sur 5 years</t>
        </is>
      </c>
      <c r="C48" s="24" t="n">
        <v>25</v>
      </c>
      <c r="D48" s="24" t="inlineStr">
        <is>
          <t>Sur 262 acquisitions brutes</t>
        </is>
      </c>
    </row>
    <row r="49">
      <c r="B49" s="24" t="inlineStr">
        <is>
          <t>Statut</t>
        </is>
      </c>
      <c r="C49" s="76" t="inlineStr">
        <is>
          <t>✓ Included</t>
        </is>
      </c>
      <c r="D49" s="24" t="inlineStr">
        <is>
          <t>Voir feuille 'Churn &amp; Clients'</t>
        </is>
      </c>
    </row>
    <row r="50"/>
    <row r="51">
      <c r="B51" s="79" t="inlineStr">
        <is>
          <t>WC &amp; CONDITIONS DE PAIEMENT</t>
        </is>
      </c>
    </row>
    <row r="52">
      <c r="B52" s="24" t="inlineStr">
        <is>
          <t>DSO (delay encaissement)</t>
        </is>
      </c>
      <c r="C52" s="24" t="inlineStr">
        <is>
          <t>90 days</t>
        </is>
      </c>
      <c r="D52" s="90" t="inlineStr">
        <is>
          <t>Conservative assumption for enterprise clients</t>
        </is>
      </c>
    </row>
    <row r="53">
      <c r="B53" s="24" t="inlineStr">
        <is>
          <t>DPO (delay fournisseurs)</t>
        </is>
      </c>
      <c r="C53" s="24" t="inlineStr">
        <is>
          <t>N/A</t>
        </is>
      </c>
      <c r="D53" s="24" t="inlineStr">
        <is>
          <t>Costs paid as incurred</t>
        </is>
      </c>
    </row>
    <row r="54">
      <c r="B54" s="24" t="inlineStr">
        <is>
          <t>WC clients end 2030</t>
        </is>
      </c>
      <c r="C54" s="54" t="n">
        <v>2743</v>
      </c>
      <c r="D54" s="24" t="inlineStr">
        <is>
          <t>K€ (CA × 30/365)</t>
        </is>
      </c>
    </row>
    <row r="55"/>
    <row r="56"/>
    <row r="57">
      <c r="B57" s="79" t="inlineStr">
        <is>
          <t>COSTS SOCIALES &amp; COÛTS (SUISSE)</t>
        </is>
      </c>
    </row>
    <row r="58">
      <c r="B58" s="24" t="inlineStr">
        <is>
          <t>Costs sociales employer statutoryes</t>
        </is>
      </c>
      <c r="C58" s="24" t="inlineStr">
        <is>
          <t>~15%</t>
        </is>
      </c>
      <c r="D58" s="68" t="inlineStr">
        <is>
          <t>AVS/AI/APG 5.3% + AC 1.1% + LAA 0.5% + LPP ~5% + AF 2.3%</t>
        </is>
      </c>
    </row>
    <row r="59">
      <c r="B59" s="24" t="inlineStr">
        <is>
          <t>Salaries 'fully loaded' include</t>
        </is>
      </c>
      <c r="C59" s="24" t="inlineStr">
        <is>
          <t>~50%</t>
        </is>
      </c>
      <c r="D59" s="68" t="inlineStr">
        <is>
          <t>Statutory costs ~15% + overhead ~35% (equip., training, etc.)</t>
        </is>
      </c>
    </row>
    <row r="60">
      <c r="B60" s="24" t="inlineStr">
        <is>
          <t>Separate recruitment costs</t>
        </is>
      </c>
      <c r="C60" s="24" t="inlineStr">
        <is>
          <t>No</t>
        </is>
      </c>
      <c r="D60" s="68" t="inlineStr">
        <is>
          <t>Inclus dyears l'overhead</t>
        </is>
      </c>
    </row>
    <row r="61">
      <c r="B61" s="24" t="inlineStr">
        <is>
          <t>Bonus/variable commerciaux</t>
        </is>
      </c>
      <c r="C61" s="24" t="inlineStr">
        <is>
          <t>No</t>
        </is>
      </c>
      <c r="D61" s="68" t="inlineStr">
        <is>
          <t>No sales commission</t>
        </is>
      </c>
    </row>
    <row r="62">
      <c r="B62" s="89" t="inlineStr">
        <is>
          <t>Note: 'Fully loaded' salaries at 50% include:</t>
        </is>
      </c>
      <c r="C62" s="90" t="inlineStr">
        <is>
          <t>• Costs sociales statutoryes (~15%): AVS/AI/APG, AC, LAA, LPP, AF</t>
        </is>
      </c>
      <c r="D62" s="68" t="inlineStr">
        <is>
          <t>Pas de CIR en Switzerland</t>
        </is>
      </c>
    </row>
    <row r="63">
      <c r="B63" s="24" t="inlineStr"/>
    </row>
    <row r="64">
      <c r="B64" s="79" t="inlineStr">
        <is>
          <t>INVESTMENTS (CAPEX)</t>
        </is>
      </c>
    </row>
    <row r="65">
      <c r="B65" s="24" t="inlineStr">
        <is>
          <t>CAPEX equipment/furniture</t>
        </is>
      </c>
      <c r="C65" s="24" t="inlineStr">
        <is>
          <t>Minimal</t>
        </is>
      </c>
      <c r="D65" s="68" t="inlineStr">
        <is>
          <t>Équipe principalement remote</t>
        </is>
      </c>
    </row>
    <row r="66">
      <c r="B66" s="24" t="inlineStr">
        <is>
          <t>D&amp;A</t>
        </is>
      </c>
      <c r="C66" s="24" t="inlineStr">
        <is>
          <t>€25K/year</t>
        </is>
      </c>
      <c r="D66" s="68" t="inlineStr">
        <is>
          <t>Software licenses only (remote team)</t>
        </is>
      </c>
    </row>
    <row r="67">
      <c r="B67" s="24" t="inlineStr">
        <is>
          <t>Security deposits (offices)</t>
        </is>
      </c>
      <c r="C67" s="24" t="inlineStr">
        <is>
          <t>No</t>
        </is>
      </c>
      <c r="D67" s="68" t="inlineStr">
        <is>
          <t>Pas de offices fixes</t>
        </is>
      </c>
    </row>
    <row r="68"/>
    <row r="69">
      <c r="B69" s="79" t="inlineStr">
        <is>
          <t>WORKING CAPITAL &amp; BILLING</t>
        </is>
      </c>
    </row>
    <row r="70">
      <c r="B70" s="24" t="inlineStr">
        <is>
          <t>Setup Fees Billing</t>
        </is>
      </c>
      <c r="C70" s="24" t="inlineStr">
        <is>
          <t>30 days</t>
        </is>
      </c>
      <c r="D70" s="68" t="inlineStr">
        <is>
          <t>Payment at 30 days after invoicing</t>
        </is>
      </c>
    </row>
    <row r="71">
      <c r="B71" s="24" t="inlineStr">
        <is>
          <t>Hosting Billing</t>
        </is>
      </c>
      <c r="C71" s="24" t="inlineStr">
        <is>
          <t>Mensuelle</t>
        </is>
      </c>
      <c r="D71" s="68" t="inlineStr">
        <is>
          <t>Monthly billing</t>
        </is>
      </c>
    </row>
    <row r="72">
      <c r="B72" s="24" t="inlineStr">
        <is>
          <t>DSO (delay encaissement)</t>
        </is>
      </c>
      <c r="C72" s="24" t="inlineStr">
        <is>
          <t>90 days</t>
        </is>
      </c>
      <c r="D72" s="68" t="inlineStr">
        <is>
          <t>Conservative assumption for enterprise clients</t>
        </is>
      </c>
    </row>
    <row r="73">
      <c r="B73" s="24" t="inlineStr">
        <is>
          <t>Doubtful receivables provision</t>
        </is>
      </c>
      <c r="C73" s="24" t="inlineStr">
        <is>
          <t>No</t>
        </is>
      </c>
      <c r="D73" s="68" t="inlineStr">
        <is>
          <t>No provision for bad debts</t>
        </is>
      </c>
    </row>
    <row r="74"/>
    <row r="75">
      <c r="B75" s="79" t="inlineStr">
        <is>
          <t>TOKEN ECONOMICS (additional)</t>
        </is>
      </c>
    </row>
    <row r="76">
      <c r="B76" s="24" t="inlineStr">
        <is>
          <t>Vente de tokens par Swiss 6022</t>
        </is>
      </c>
      <c r="C76" s="24" t="inlineStr">
        <is>
          <t>No before 2030</t>
        </is>
      </c>
      <c r="D76" s="68" t="inlineStr">
        <is>
          <t>No token monetization before 2030</t>
        </is>
      </c>
    </row>
    <row r="77">
      <c r="B77" s="24" t="inlineStr">
        <is>
          <t>Devise revenus Rental</t>
        </is>
      </c>
      <c r="C77" s="24" t="inlineStr">
        <is>
          <t>EUR</t>
        </is>
      </c>
      <c r="D77" s="68" t="inlineStr">
        <is>
          <t>Avec risque de change CHF</t>
        </is>
      </c>
    </row>
    <row r="78">
      <c r="B78" s="24" t="inlineStr">
        <is>
          <t>Blockchain/liquidity pool fees</t>
        </is>
      </c>
      <c r="C78" s="24" t="inlineStr">
        <is>
          <t>Marginaux</t>
        </is>
      </c>
      <c r="D78" s="68" t="inlineStr">
        <is>
          <t>Not modeled</t>
        </is>
      </c>
    </row>
    <row r="79"/>
    <row r="80">
      <c r="B80" s="79" t="inlineStr">
        <is>
          <t>TAX (additional)</t>
        </is>
      </c>
    </row>
    <row r="81">
      <c r="B81" s="24" t="inlineStr">
        <is>
          <t>Allègements fiscaux Fribourg</t>
        </is>
      </c>
      <c r="C81" s="24" t="inlineStr">
        <is>
          <t>No</t>
        </is>
      </c>
      <c r="D81" s="68" t="inlineStr">
        <is>
          <t>No art. 98 LICD tax relief</t>
        </is>
      </c>
    </row>
    <row r="82">
      <c r="B82" s="24" t="inlineStr">
        <is>
          <t>Patent Box suisse</t>
        </is>
      </c>
      <c r="C82" s="24" t="inlineStr">
        <is>
          <t>No</t>
        </is>
      </c>
      <c r="D82" s="68" t="inlineStr">
        <is>
          <t>Pas d'application</t>
        </is>
      </c>
    </row>
    <row r="83">
      <c r="B83" s="24" t="inlineStr">
        <is>
          <t>TVA</t>
        </is>
      </c>
      <c r="C83" s="24" t="inlineStr">
        <is>
          <t>Export exemption</t>
        </is>
      </c>
      <c r="D83" s="68" t="inlineStr">
        <is>
          <t>100% export → no VAT to collect</t>
        </is>
      </c>
    </row>
    <row r="84"/>
    <row r="85">
      <c r="B85" s="79" t="inlineStr">
        <is>
          <t>FINANCEMENT</t>
        </is>
      </c>
    </row>
    <row r="86">
      <c r="B86" s="24" t="inlineStr">
        <is>
          <t>Fundraise structure</t>
        </is>
      </c>
      <c r="C86" s="24" t="inlineStr">
        <is>
          <t>À discuter</t>
        </is>
      </c>
      <c r="D86" s="68" t="inlineStr">
        <is>
          <t>Equity et/ou tokens</t>
        </is>
      </c>
    </row>
    <row r="87">
      <c r="B87" s="24" t="inlineStr">
        <is>
          <t>Subventions (Innosuisse, Horizon)</t>
        </is>
      </c>
      <c r="C87" s="24" t="inlineStr">
        <is>
          <t>No</t>
        </is>
      </c>
      <c r="D87" s="68" t="inlineStr">
        <is>
          <t>No subsidies planned</t>
        </is>
      </c>
    </row>
    <row r="88"/>
    <row r="89"/>
    <row r="90">
      <c r="B90" s="88" t="inlineStr">
        <is>
          <t>⚠️ POINTS À CLARIFIER</t>
        </is>
      </c>
    </row>
    <row r="91">
      <c r="B91" s="73" t="inlineStr">
        <is>
          <t>1. Hosting Fees Growth/Scale</t>
        </is>
      </c>
      <c r="C91" s="24" t="inlineStr">
        <is>
          <t>€48K/year</t>
        </is>
      </c>
      <c r="D91" s="77" t="inlineStr">
        <is>
          <t>✓ Corrected (Principles PDF)</t>
        </is>
      </c>
    </row>
    <row r="92">
      <c r="B92" s="73" t="inlineStr">
        <is>
          <t>2. D&amp;A</t>
        </is>
      </c>
      <c r="C92" s="24" t="inlineStr">
        <is>
          <t>€25K/year</t>
        </is>
      </c>
      <c r="D92" s="68" t="inlineStr">
        <is>
          <t>Software licenses only (remote team)</t>
        </is>
      </c>
    </row>
    <row r="93">
      <c r="B93" s="73" t="inlineStr">
        <is>
          <t>3. Costs 'fully loaded'</t>
        </is>
      </c>
      <c r="C93" s="24" t="inlineStr">
        <is>
          <t>Keep 50% or detail?</t>
        </is>
      </c>
      <c r="D93" s="68" t="inlineStr">
        <is>
          <t>Statutory costs ~15% + overhead ~35% (equip., training, etc.)</t>
        </is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40" customWidth="1" style="25" min="2" max="2"/>
    <col width="12" customWidth="1" style="25" min="4" max="4"/>
    <col width="12" customWidth="1" style="25" min="5" max="5"/>
    <col width="12" customWidth="1" style="25" min="6" max="6"/>
    <col width="12" customWidth="1" style="25" min="7" max="7"/>
    <col width="12" customWidth="1" style="25" min="8" max="8"/>
    <col width="12" customWidth="1" style="25" min="9" max="9"/>
  </cols>
  <sheetData>
    <row r="1">
      <c r="A1" s="49" t="inlineStr">
        <is>
          <t>Swiss 6022</t>
        </is>
      </c>
    </row>
    <row r="3">
      <c r="B3" s="50" t="inlineStr">
        <is>
          <t>DETAILED PROFIT &amp; LOSS STATEMENT (K€)</t>
        </is>
      </c>
    </row>
    <row r="5">
      <c r="B5" s="51" t="inlineStr">
        <is>
          <t>P&amp;L (K€)</t>
        </is>
      </c>
      <c r="D5" s="52" t="n">
        <v>2026</v>
      </c>
      <c r="E5" s="52" t="n">
        <v>2027</v>
      </c>
      <c r="F5" s="52" t="n">
        <v>2028</v>
      </c>
      <c r="G5" s="52" t="n">
        <v>2029</v>
      </c>
      <c r="H5" s="52" t="n">
        <v>2030</v>
      </c>
      <c r="I5" s="51" t="inlineStr">
        <is>
          <t>Total</t>
        </is>
      </c>
    </row>
    <row r="7">
      <c r="B7" s="53" t="inlineStr">
        <is>
          <t>REVENUE</t>
        </is>
      </c>
      <c r="D7" s="24" t="n">
        <v>1504</v>
      </c>
      <c r="E7" s="24" t="n">
        <v>4287</v>
      </c>
      <c r="F7" s="24" t="n">
        <v>9735</v>
      </c>
      <c r="G7" s="24" t="n">
        <v>17891</v>
      </c>
      <c r="H7" s="24" t="n">
        <v>32080</v>
      </c>
      <c r="I7" s="24" t="n">
        <v>65497</v>
      </c>
    </row>
    <row r="8">
      <c r="B8" s="24" t="inlineStr">
        <is>
          <t>Setup Fees (one-off)</t>
        </is>
      </c>
      <c r="D8" s="54" t="n">
        <v>980</v>
      </c>
      <c r="E8" s="54" t="n">
        <v>2600</v>
      </c>
      <c r="F8" s="54" t="n">
        <v>5500</v>
      </c>
      <c r="G8" s="54" t="n">
        <v>9200</v>
      </c>
      <c r="H8" s="54" t="n">
        <v>14700</v>
      </c>
      <c r="I8" s="54" t="n">
        <v>32980</v>
      </c>
    </row>
    <row r="9">
      <c r="B9" s="55" t="inlineStr">
        <is>
          <t xml:space="preserve">  Starter (€80K x clients)</t>
        </is>
      </c>
      <c r="D9" s="56" t="n">
        <v>480</v>
      </c>
      <c r="E9" s="56" t="n">
        <v>800</v>
      </c>
      <c r="F9" s="56" t="n">
        <v>1600</v>
      </c>
      <c r="G9" s="56" t="n">
        <v>2400</v>
      </c>
      <c r="H9" s="56" t="n">
        <v>3200</v>
      </c>
      <c r="I9" s="54" t="n">
        <v>8480</v>
      </c>
    </row>
    <row r="10">
      <c r="B10" s="55" t="inlineStr">
        <is>
          <t xml:space="preserve">  Growth (€150K x clients)</t>
        </is>
      </c>
      <c r="D10" s="56" t="n">
        <v>300</v>
      </c>
      <c r="E10" s="56" t="n">
        <v>900</v>
      </c>
      <c r="F10" s="56" t="n">
        <v>1500</v>
      </c>
      <c r="G10" s="56" t="n">
        <v>3000</v>
      </c>
      <c r="H10" s="56" t="n">
        <v>4500</v>
      </c>
      <c r="I10" s="54" t="n">
        <v>10200</v>
      </c>
    </row>
    <row r="11">
      <c r="B11" s="55" t="inlineStr">
        <is>
          <t xml:space="preserve">  Scale (€200K x clients)</t>
        </is>
      </c>
      <c r="D11" s="56" t="n">
        <v>200</v>
      </c>
      <c r="E11" s="56" t="n">
        <v>600</v>
      </c>
      <c r="F11" s="56" t="n">
        <v>1200</v>
      </c>
      <c r="G11" s="56" t="n">
        <v>2000</v>
      </c>
      <c r="H11" s="56" t="n">
        <v>4000</v>
      </c>
      <c r="I11" s="54" t="n">
        <v>8000</v>
      </c>
    </row>
    <row r="12">
      <c r="B12" s="55" t="inlineStr">
        <is>
          <t xml:space="preserve">  Enterprise (€300K x clients)</t>
        </is>
      </c>
      <c r="D12" s="56" t="n">
        <v>0</v>
      </c>
      <c r="E12" s="56" t="n">
        <v>300</v>
      </c>
      <c r="F12" s="56" t="n">
        <v>1200</v>
      </c>
      <c r="G12" s="56" t="n">
        <v>1800</v>
      </c>
      <c r="H12" s="56" t="n">
        <v>3000</v>
      </c>
      <c r="I12" s="54" t="n">
        <v>6300</v>
      </c>
    </row>
    <row r="13">
      <c r="B13" s="24" t="inlineStr">
        <is>
          <t>Hosting &amp; Support (recurring)</t>
        </is>
      </c>
      <c r="D13" s="54" t="n">
        <v>456</v>
      </c>
      <c r="E13" s="54" t="n">
        <v>1440</v>
      </c>
      <c r="F13" s="54" t="n">
        <v>3552</v>
      </c>
      <c r="G13" s="54" t="n">
        <v>7032</v>
      </c>
      <c r="H13" s="54" t="n">
        <v>12552</v>
      </c>
      <c r="I13" s="54" t="n">
        <v>25032</v>
      </c>
    </row>
    <row r="14">
      <c r="B14" s="55" t="inlineStr">
        <is>
          <t xml:space="preserve">  Starter (€36K/an)</t>
        </is>
      </c>
      <c r="D14" s="56" t="n">
        <v>288</v>
      </c>
      <c r="E14" s="56" t="n">
        <v>648</v>
      </c>
      <c r="F14" s="56" t="n">
        <v>1368</v>
      </c>
      <c r="G14" s="56" t="n">
        <v>2448</v>
      </c>
      <c r="H14" s="56" t="n">
        <v>3888</v>
      </c>
      <c r="I14" s="54" t="n">
        <v>8640</v>
      </c>
    </row>
    <row r="15">
      <c r="B15" s="55" t="inlineStr">
        <is>
          <t xml:space="preserve">  Growth (€60K/an)</t>
        </is>
      </c>
      <c r="D15" s="56" t="n">
        <v>120</v>
      </c>
      <c r="E15" s="56" t="n">
        <v>480</v>
      </c>
      <c r="F15" s="56" t="n">
        <v>1080</v>
      </c>
      <c r="G15" s="56" t="n">
        <v>2280</v>
      </c>
      <c r="H15" s="56" t="n">
        <v>4080</v>
      </c>
      <c r="I15" s="54" t="n">
        <v>8040</v>
      </c>
    </row>
    <row r="16">
      <c r="B16" s="55" t="inlineStr">
        <is>
          <t xml:space="preserve">  Scale (€84K/an)</t>
        </is>
      </c>
      <c r="D16" s="56" t="n">
        <v>84</v>
      </c>
      <c r="E16" s="56" t="n">
        <v>336</v>
      </c>
      <c r="F16" s="56" t="n">
        <v>840</v>
      </c>
      <c r="G16" s="56" t="n">
        <v>1680</v>
      </c>
      <c r="H16" s="56" t="n">
        <v>3360</v>
      </c>
      <c r="I16" s="54" t="n">
        <v>6300</v>
      </c>
    </row>
    <row r="17">
      <c r="B17" s="55" t="inlineStr">
        <is>
          <t xml:space="preserve">  Enterprise (€120K/an)</t>
        </is>
      </c>
      <c r="D17" s="56" t="n">
        <v>0</v>
      </c>
      <c r="E17" s="56" t="n">
        <v>120</v>
      </c>
      <c r="F17" s="56" t="n">
        <v>600</v>
      </c>
      <c r="G17" s="56" t="n">
        <v>1320</v>
      </c>
      <c r="H17" s="56" t="n">
        <v>2520</v>
      </c>
      <c r="I17" s="54" t="n">
        <v>4560</v>
      </c>
    </row>
    <row r="18">
      <c r="B18" s="24" t="inlineStr">
        <is>
          <t>Rental Fees (token rental)</t>
        </is>
      </c>
      <c r="D18" s="54" t="n">
        <v>68</v>
      </c>
      <c r="E18" s="54" t="n">
        <v>247</v>
      </c>
      <c r="F18" s="54" t="n">
        <v>683</v>
      </c>
      <c r="G18" s="54" t="n">
        <v>1659</v>
      </c>
      <c r="H18" s="54" t="n">
        <v>4828</v>
      </c>
      <c r="I18" s="54" t="n">
        <v>7485</v>
      </c>
    </row>
    <row r="19">
      <c r="B19" s="57" t="inlineStr">
        <is>
          <t>TOTAL REVENUE</t>
        </is>
      </c>
      <c r="D19" s="58" t="n">
        <v>1504</v>
      </c>
      <c r="E19" s="58" t="n">
        <v>4287</v>
      </c>
      <c r="F19" s="58" t="n">
        <v>9735</v>
      </c>
      <c r="G19" s="58" t="n">
        <v>17891</v>
      </c>
      <c r="H19" s="58" t="n">
        <v>32080</v>
      </c>
      <c r="I19" s="58" t="n">
        <v>65497</v>
      </c>
    </row>
    <row r="20">
      <c r="B20" s="24" t="inlineStr"/>
    </row>
    <row r="21">
      <c r="B21" s="53" t="inlineStr">
        <is>
          <t>OPERATING EXPENSES</t>
        </is>
      </c>
    </row>
    <row r="22">
      <c r="B22" s="24" t="inlineStr"/>
    </row>
    <row r="23">
      <c r="B23" s="59" t="inlineStr">
        <is>
          <t>GD1 - Enterprise Platform</t>
        </is>
      </c>
      <c r="D23" s="60" t="n">
        <v>530</v>
      </c>
      <c r="E23" s="60" t="n">
        <v>750</v>
      </c>
      <c r="F23" s="60" t="n">
        <v>630</v>
      </c>
      <c r="G23" s="60" t="n">
        <v>660</v>
      </c>
      <c r="H23" s="60" t="n">
        <v>660</v>
      </c>
      <c r="I23" s="54" t="n">
        <v>3230</v>
      </c>
    </row>
    <row r="24">
      <c r="B24" s="55" t="inlineStr">
        <is>
          <t xml:space="preserve">  Engineers (2→3 FTE @ €150K)</t>
        </is>
      </c>
      <c r="D24" s="56" t="n">
        <v>300</v>
      </c>
      <c r="E24" s="56" t="n">
        <v>450</v>
      </c>
      <c r="F24" s="56" t="n">
        <v>450</v>
      </c>
      <c r="G24" s="56" t="n">
        <v>450</v>
      </c>
      <c r="H24" s="56" t="n">
        <v>450</v>
      </c>
      <c r="I24" s="54" t="n">
        <v>2100</v>
      </c>
    </row>
    <row r="25">
      <c r="B25" s="55" t="inlineStr">
        <is>
          <t xml:space="preserve">  Conseil Compliance</t>
        </is>
      </c>
      <c r="D25" s="56" t="n">
        <v>150</v>
      </c>
      <c r="E25" s="56" t="n">
        <v>150</v>
      </c>
      <c r="F25" s="56" t="n">
        <v>0</v>
      </c>
      <c r="G25" s="56" t="n">
        <v>0</v>
      </c>
      <c r="H25" s="56" t="n">
        <v>0</v>
      </c>
      <c r="I25" s="54" t="n">
        <v>300</v>
      </c>
    </row>
    <row r="26">
      <c r="B26" s="55" t="inlineStr">
        <is>
          <t xml:space="preserve">  Audits &amp; Penetration Tests</t>
        </is>
      </c>
      <c r="D26" s="56" t="n">
        <v>25</v>
      </c>
      <c r="E26" s="56" t="n">
        <v>50</v>
      </c>
      <c r="F26" s="56" t="n">
        <v>30</v>
      </c>
      <c r="G26" s="56" t="n">
        <v>30</v>
      </c>
      <c r="H26" s="56" t="n">
        <v>30</v>
      </c>
      <c r="I26" s="54" t="n">
        <v>165</v>
      </c>
    </row>
    <row r="27">
      <c r="B27" s="55" t="inlineStr">
        <is>
          <t xml:space="preserve">  Infrastructure Cloud (Azure/AWS)</t>
        </is>
      </c>
      <c r="D27" s="56" t="n">
        <v>50</v>
      </c>
      <c r="E27" s="56" t="n">
        <v>100</v>
      </c>
      <c r="F27" s="56" t="n">
        <v>150</v>
      </c>
      <c r="G27" s="56" t="n">
        <v>180</v>
      </c>
      <c r="H27" s="56" t="n">
        <v>180</v>
      </c>
      <c r="I27" s="54" t="n">
        <v>660</v>
      </c>
    </row>
    <row r="28">
      <c r="B28" s="55" t="inlineStr">
        <is>
          <t xml:space="preserve">  Integration Bitcoin/CITREA</t>
        </is>
      </c>
      <c r="D28" s="56" t="n">
        <v>5</v>
      </c>
      <c r="E28" s="56" t="n">
        <v>0</v>
      </c>
      <c r="F28" s="56" t="n">
        <v>0</v>
      </c>
      <c r="G28" s="56" t="n">
        <v>0</v>
      </c>
      <c r="H28" s="56" t="n">
        <v>0</v>
      </c>
      <c r="I28" s="54" t="n">
        <v>5</v>
      </c>
    </row>
    <row r="29">
      <c r="B29" s="24" t="inlineStr"/>
    </row>
    <row r="30">
      <c r="B30" s="59" t="inlineStr">
        <is>
          <t>GD2 - Swarm R&amp;D AI</t>
        </is>
      </c>
      <c r="D30" s="60" t="n">
        <v>100</v>
      </c>
      <c r="E30" s="60" t="n">
        <v>100</v>
      </c>
      <c r="F30" s="60" t="n">
        <v>100</v>
      </c>
      <c r="G30" s="60" t="n">
        <v>200</v>
      </c>
      <c r="H30" s="60" t="n">
        <v>200</v>
      </c>
      <c r="I30" s="54" t="n">
        <v>700</v>
      </c>
    </row>
    <row r="31">
      <c r="B31" s="55" t="inlineStr">
        <is>
          <t xml:space="preserve">  Chercheurs PhD (1→2 FTE @ €100K)</t>
        </is>
      </c>
      <c r="D31" s="56" t="n">
        <v>100</v>
      </c>
      <c r="E31" s="56" t="n">
        <v>100</v>
      </c>
      <c r="F31" s="56" t="n">
        <v>100</v>
      </c>
      <c r="G31" s="56" t="n">
        <v>200</v>
      </c>
      <c r="H31" s="56" t="n">
        <v>200</v>
      </c>
      <c r="I31" s="54" t="n">
        <v>700</v>
      </c>
    </row>
    <row r="32">
      <c r="B32" s="24" t="inlineStr"/>
    </row>
    <row r="33">
      <c r="B33" s="59" t="inlineStr">
        <is>
          <t>GD3 - Delivery at Scale</t>
        </is>
      </c>
      <c r="D33" s="60" t="n">
        <v>390</v>
      </c>
      <c r="E33" s="60" t="n">
        <v>810</v>
      </c>
      <c r="F33" s="60" t="n">
        <v>1230</v>
      </c>
      <c r="G33" s="60" t="n">
        <v>1740</v>
      </c>
      <c r="H33" s="60" t="n">
        <v>2180</v>
      </c>
      <c r="I33" s="54" t="n">
        <v>6350</v>
      </c>
    </row>
    <row r="34">
      <c r="B34" s="55" t="inlineStr">
        <is>
          <t xml:space="preserve">  Solution Architects (1→2 FTE @ €120K)</t>
        </is>
      </c>
      <c r="D34" s="56" t="n">
        <v>120</v>
      </c>
      <c r="E34" s="56" t="n">
        <v>240</v>
      </c>
      <c r="F34" s="56" t="n">
        <v>240</v>
      </c>
      <c r="G34" s="56" t="n">
        <v>240</v>
      </c>
      <c r="H34" s="56" t="n">
        <v>240</v>
      </c>
      <c r="I34" s="54" t="n">
        <v>1080</v>
      </c>
    </row>
    <row r="35">
      <c r="B35" s="55" t="inlineStr">
        <is>
          <t xml:space="preserve">  Customer Success Managers (€100K)</t>
        </is>
      </c>
      <c r="D35" s="56" t="n">
        <v>100</v>
      </c>
      <c r="E35" s="56" t="n">
        <v>250</v>
      </c>
      <c r="F35" s="56" t="n">
        <v>550</v>
      </c>
      <c r="G35" s="56" t="n">
        <v>950</v>
      </c>
      <c r="H35" s="56" t="n">
        <v>1350</v>
      </c>
      <c r="I35" s="54" t="n">
        <v>3200</v>
      </c>
    </row>
    <row r="36">
      <c r="B36" s="55" t="inlineStr">
        <is>
          <t xml:space="preserve">  Trainers (€90K)</t>
        </is>
      </c>
      <c r="D36" s="56" t="n">
        <v>90</v>
      </c>
      <c r="E36" s="56" t="n">
        <v>90</v>
      </c>
      <c r="F36" s="56" t="n">
        <v>180</v>
      </c>
      <c r="G36" s="56" t="n">
        <v>270</v>
      </c>
      <c r="H36" s="56" t="n">
        <v>360</v>
      </c>
      <c r="I36" s="54" t="n">
        <v>990</v>
      </c>
    </row>
    <row r="37">
      <c r="B37" s="55" t="inlineStr">
        <is>
          <t xml:space="preserve">  Delivery Manager (€130K)</t>
        </is>
      </c>
      <c r="D37" s="56" t="n">
        <v>0</v>
      </c>
      <c r="E37" s="56" t="n">
        <v>130</v>
      </c>
      <c r="F37" s="56" t="n">
        <v>130</v>
      </c>
      <c r="G37" s="56" t="n">
        <v>130</v>
      </c>
      <c r="H37" s="56" t="n">
        <v>130</v>
      </c>
      <c r="I37" s="54" t="n">
        <v>520</v>
      </c>
    </row>
    <row r="38">
      <c r="B38" s="55" t="inlineStr">
        <is>
          <t xml:space="preserve">  Formation &amp; Outillage</t>
        </is>
      </c>
      <c r="D38" s="56" t="n">
        <v>50</v>
      </c>
      <c r="E38" s="56" t="n">
        <v>80</v>
      </c>
      <c r="F38" s="56" t="n">
        <v>100</v>
      </c>
      <c r="G38" s="56" t="n">
        <v>100</v>
      </c>
      <c r="H38" s="56" t="n">
        <v>100</v>
      </c>
      <c r="I38" s="54" t="n">
        <v>430</v>
      </c>
    </row>
    <row r="39">
      <c r="B39" s="55" t="inlineStr">
        <is>
          <t xml:space="preserve">  Playbooks &amp; QA</t>
        </is>
      </c>
      <c r="D39" s="56" t="n">
        <v>30</v>
      </c>
      <c r="E39" s="56" t="n">
        <v>20</v>
      </c>
      <c r="F39" s="56" t="n">
        <v>30</v>
      </c>
      <c r="G39" s="56" t="n">
        <v>50</v>
      </c>
      <c r="H39" s="56" t="n">
        <v>0</v>
      </c>
      <c r="I39" s="54" t="n">
        <v>130</v>
      </c>
    </row>
    <row r="40">
      <c r="B40" s="24" t="inlineStr"/>
    </row>
    <row r="41">
      <c r="B41" s="59" t="inlineStr">
        <is>
          <t>GD4 - Sales &amp; Partners</t>
        </is>
      </c>
      <c r="D41" s="60" t="n">
        <v>380</v>
      </c>
      <c r="E41" s="60" t="n">
        <v>530</v>
      </c>
      <c r="F41" s="60" t="n">
        <v>810</v>
      </c>
      <c r="G41" s="60" t="n">
        <v>1090</v>
      </c>
      <c r="H41" s="60" t="n">
        <v>1090</v>
      </c>
      <c r="I41" s="54" t="n">
        <v>3900</v>
      </c>
    </row>
    <row r="42">
      <c r="B42" s="55" t="inlineStr">
        <is>
          <t xml:space="preserve">  Partner Manager (€110K)</t>
        </is>
      </c>
      <c r="D42" s="56" t="n">
        <v>110</v>
      </c>
      <c r="E42" s="56" t="n">
        <v>110</v>
      </c>
      <c r="F42" s="56" t="n">
        <v>110</v>
      </c>
      <c r="G42" s="56" t="n">
        <v>110</v>
      </c>
      <c r="H42" s="56" t="n">
        <v>110</v>
      </c>
      <c r="I42" s="54" t="n">
        <v>550</v>
      </c>
    </row>
    <row r="43">
      <c r="B43" s="55" t="inlineStr">
        <is>
          <t xml:space="preserve">  Marketing Lead (€110K)</t>
        </is>
      </c>
      <c r="D43" s="56" t="n">
        <v>110</v>
      </c>
      <c r="E43" s="56" t="n">
        <v>110</v>
      </c>
      <c r="F43" s="56" t="n">
        <v>110</v>
      </c>
      <c r="G43" s="56" t="n">
        <v>110</v>
      </c>
      <c r="H43" s="56" t="n">
        <v>110</v>
      </c>
      <c r="I43" s="54" t="n">
        <v>550</v>
      </c>
    </row>
    <row r="44">
      <c r="B44" s="55" t="inlineStr">
        <is>
          <t xml:space="preserve">  Sales Executives (1→6 FTE @ €140K)</t>
        </is>
      </c>
      <c r="D44" s="56" t="n">
        <v>140</v>
      </c>
      <c r="E44" s="56" t="n">
        <v>280</v>
      </c>
      <c r="F44" s="56" t="n">
        <v>560</v>
      </c>
      <c r="G44" s="56" t="n">
        <v>840</v>
      </c>
      <c r="H44" s="56" t="n">
        <v>840</v>
      </c>
      <c r="I44" s="54" t="n">
        <v>2660</v>
      </c>
    </row>
    <row r="45">
      <c r="B45" s="55" t="inlineStr">
        <is>
          <t xml:space="preserve">  Marketing &amp; Outils CRM</t>
        </is>
      </c>
      <c r="D45" s="56" t="n">
        <v>20</v>
      </c>
      <c r="E45" s="56" t="n">
        <v>30</v>
      </c>
      <c r="F45" s="56" t="n">
        <v>30</v>
      </c>
      <c r="G45" s="56" t="n">
        <v>30</v>
      </c>
      <c r="H45" s="56" t="n">
        <v>30</v>
      </c>
      <c r="I45" s="54" t="n">
        <v>140</v>
      </c>
    </row>
    <row r="46">
      <c r="B46" s="24" t="inlineStr"/>
    </row>
    <row r="47">
      <c r="B47" s="59" t="inlineStr">
        <is>
          <t>GD5 - Token Economy Governance</t>
        </is>
      </c>
      <c r="D47" s="60" t="n">
        <v>50</v>
      </c>
      <c r="E47" s="60" t="n">
        <v>200</v>
      </c>
      <c r="F47" s="60" t="n">
        <v>200</v>
      </c>
      <c r="G47" s="60" t="n">
        <v>200</v>
      </c>
      <c r="H47" s="60" t="n">
        <v>200</v>
      </c>
      <c r="I47" s="54" t="n">
        <v>850</v>
      </c>
    </row>
    <row r="48">
      <c r="B48" s="55" t="inlineStr">
        <is>
          <t xml:space="preserve">  Token Economy Specialist (€150K)</t>
        </is>
      </c>
      <c r="D48" s="56" t="n">
        <v>0</v>
      </c>
      <c r="E48" s="56" t="n">
        <v>150</v>
      </c>
      <c r="F48" s="56" t="n">
        <v>150</v>
      </c>
      <c r="G48" s="56" t="n">
        <v>150</v>
      </c>
      <c r="H48" s="56" t="n">
        <v>150</v>
      </c>
      <c r="I48" s="54" t="n">
        <v>600</v>
      </c>
    </row>
    <row r="49">
      <c r="B49" s="55" t="inlineStr">
        <is>
          <t xml:space="preserve">  Conseil external (Legal/FINMA)</t>
        </is>
      </c>
      <c r="D49" s="56" t="n">
        <v>50</v>
      </c>
      <c r="E49" s="56" t="n">
        <v>50</v>
      </c>
      <c r="F49" s="56" t="n">
        <v>50</v>
      </c>
      <c r="G49" s="56" t="n">
        <v>50</v>
      </c>
      <c r="H49" s="56" t="n">
        <v>50</v>
      </c>
      <c r="I49" s="54" t="n">
        <v>250</v>
      </c>
    </row>
    <row r="50">
      <c r="B50" s="24" t="inlineStr"/>
    </row>
    <row r="51">
      <c r="B51" s="59" t="inlineStr">
        <is>
          <t>General &amp; Administrative</t>
        </is>
      </c>
      <c r="D51" s="60" t="n">
        <v>700</v>
      </c>
      <c r="E51" s="60" t="n">
        <v>700</v>
      </c>
      <c r="F51" s="60" t="n">
        <v>800</v>
      </c>
      <c r="G51" s="60" t="n">
        <v>800</v>
      </c>
      <c r="H51" s="60" t="n">
        <v>800</v>
      </c>
      <c r="I51" s="54" t="n">
        <v>3800</v>
      </c>
    </row>
    <row r="52">
      <c r="B52" s="55" t="inlineStr">
        <is>
          <t xml:space="preserve">  CEO (€120K brut + charges)</t>
        </is>
      </c>
      <c r="D52" s="56" t="n">
        <v>180</v>
      </c>
      <c r="E52" s="56" t="n">
        <v>180</v>
      </c>
      <c r="F52" s="56" t="n">
        <v>180</v>
      </c>
      <c r="G52" s="56" t="n">
        <v>180</v>
      </c>
      <c r="H52" s="56" t="n">
        <v>180</v>
      </c>
      <c r="I52" s="54" t="n">
        <v>900</v>
      </c>
    </row>
    <row r="53">
      <c r="B53" s="55" t="inlineStr">
        <is>
          <t xml:space="preserve">  CSO (€120K brut + charges)</t>
        </is>
      </c>
      <c r="D53" s="56" t="n">
        <v>180</v>
      </c>
      <c r="E53" s="56" t="n">
        <v>180</v>
      </c>
      <c r="F53" s="56" t="n">
        <v>180</v>
      </c>
      <c r="G53" s="56" t="n">
        <v>180</v>
      </c>
      <c r="H53" s="56" t="n">
        <v>180</v>
      </c>
      <c r="I53" s="54" t="n">
        <v>900</v>
      </c>
    </row>
    <row r="54">
      <c r="B54" s="55" t="inlineStr">
        <is>
          <t xml:space="preserve">  Expert-comptable</t>
        </is>
      </c>
      <c r="D54" s="56" t="n">
        <v>40</v>
      </c>
      <c r="E54" s="56" t="n">
        <v>40</v>
      </c>
      <c r="F54" s="56" t="n">
        <v>40</v>
      </c>
      <c r="G54" s="56" t="n">
        <v>40</v>
      </c>
      <c r="H54" s="56" t="n">
        <v>40</v>
      </c>
      <c r="I54" s="54" t="n">
        <v>200</v>
      </c>
    </row>
    <row r="55">
      <c r="B55" s="55" t="inlineStr">
        <is>
          <t xml:space="preserve">  Avocats / Legal</t>
        </is>
      </c>
      <c r="D55" s="56" t="n">
        <v>80</v>
      </c>
      <c r="E55" s="56" t="n">
        <v>80</v>
      </c>
      <c r="F55" s="56" t="n">
        <v>80</v>
      </c>
      <c r="G55" s="56" t="n">
        <v>80</v>
      </c>
      <c r="H55" s="56" t="n">
        <v>80</v>
      </c>
      <c r="I55" s="54" t="n">
        <v>400</v>
      </c>
    </row>
    <row r="56">
      <c r="B56" s="55" t="inlineStr">
        <is>
          <t xml:space="preserve">  Officex &amp; Coworking</t>
        </is>
      </c>
      <c r="D56" s="56" t="n">
        <v>50</v>
      </c>
      <c r="E56" s="56" t="n">
        <v>60</v>
      </c>
      <c r="F56" s="56" t="n">
        <v>80</v>
      </c>
      <c r="G56" s="56" t="n">
        <v>100</v>
      </c>
      <c r="H56" s="56" t="n">
        <v>100</v>
      </c>
      <c r="I56" s="54" t="n">
        <v>390</v>
      </c>
    </row>
    <row r="57">
      <c r="B57" s="55" t="inlineStr">
        <is>
          <t xml:space="preserve">  Travel &amp; Missions</t>
        </is>
      </c>
      <c r="D57" s="56" t="n">
        <v>100</v>
      </c>
      <c r="E57" s="56" t="n">
        <v>100</v>
      </c>
      <c r="F57" s="56" t="n">
        <v>140</v>
      </c>
      <c r="G57" s="56" t="n">
        <v>150</v>
      </c>
      <c r="H57" s="56" t="n">
        <v>150</v>
      </c>
      <c r="I57" s="54" t="n">
        <v>640</v>
      </c>
    </row>
    <row r="58">
      <c r="B58" s="55" t="inlineStr">
        <is>
          <t xml:space="preserve">  Events (Point Zero Forum, etc.)</t>
        </is>
      </c>
      <c r="D58" s="56" t="n">
        <v>50</v>
      </c>
      <c r="E58" s="56" t="n">
        <v>40</v>
      </c>
      <c r="F58" s="56" t="n">
        <v>60</v>
      </c>
      <c r="G58" s="56" t="n">
        <v>50</v>
      </c>
      <c r="H58" s="56" t="n">
        <v>50</v>
      </c>
      <c r="I58" s="54" t="n">
        <v>250</v>
      </c>
    </row>
    <row r="59">
      <c r="B59" s="55" t="inlineStr">
        <is>
          <t xml:space="preserve">  Assurances &amp; Divers</t>
        </is>
      </c>
      <c r="D59" s="56" t="n">
        <v>20</v>
      </c>
      <c r="E59" s="56" t="n">
        <v>20</v>
      </c>
      <c r="F59" s="56" t="n">
        <v>40</v>
      </c>
      <c r="G59" s="56" t="n">
        <v>20</v>
      </c>
      <c r="H59" s="56" t="n">
        <v>20</v>
      </c>
      <c r="I59" s="54" t="n">
        <v>120</v>
      </c>
    </row>
    <row r="60">
      <c r="B60" s="24" t="inlineStr"/>
    </row>
    <row r="61">
      <c r="B61" s="57" t="inlineStr">
        <is>
          <t>TOTAL OPERATING EXPENSES</t>
        </is>
      </c>
      <c r="D61" s="58" t="n">
        <v>2150</v>
      </c>
      <c r="E61" s="58" t="n">
        <v>3090</v>
      </c>
      <c r="F61" s="58" t="n">
        <v>3770</v>
      </c>
      <c r="G61" s="58" t="n">
        <v>4690</v>
      </c>
      <c r="H61" s="58" t="n">
        <v>5130</v>
      </c>
      <c r="I61" s="58" t="n">
        <v>18830</v>
      </c>
    </row>
    <row r="62">
      <c r="B62" s="24" t="inlineStr"/>
    </row>
    <row r="63">
      <c r="B63" s="61" t="inlineStr">
        <is>
          <t>EBITDA</t>
        </is>
      </c>
      <c r="D63" s="62" t="n">
        <v>-646</v>
      </c>
      <c r="E63" s="63" t="n">
        <v>1197</v>
      </c>
      <c r="F63" s="63" t="n">
        <v>5965</v>
      </c>
      <c r="G63" s="63" t="n">
        <v>13201</v>
      </c>
      <c r="H63" s="63" t="n">
        <v>26950</v>
      </c>
      <c r="I63" s="63" t="n">
        <v>46667</v>
      </c>
    </row>
    <row r="64">
      <c r="B64" s="24" t="inlineStr">
        <is>
          <t>EBITDA Margin %</t>
        </is>
      </c>
      <c r="D64" s="64" t="n">
        <v>-0.4295212765957447</v>
      </c>
      <c r="E64" s="64" t="n">
        <v>0.2792162351294611</v>
      </c>
      <c r="F64" s="64" t="n">
        <v>0.6127375449409348</v>
      </c>
      <c r="G64" s="64" t="n">
        <v>0.7378570230842323</v>
      </c>
      <c r="H64" s="64" t="n">
        <v>0.8400872817955112</v>
      </c>
    </row>
    <row r="65">
      <c r="B65" s="24" t="inlineStr"/>
    </row>
    <row r="66">
      <c r="B66" s="24" t="inlineStr">
        <is>
          <t>Depreciation &amp; Amortization</t>
        </is>
      </c>
      <c r="D66" s="65" t="n">
        <v>-25</v>
      </c>
      <c r="E66" s="65" t="n">
        <v>-25</v>
      </c>
      <c r="F66" s="65" t="n">
        <v>-25</v>
      </c>
      <c r="G66" s="65" t="n">
        <v>-25</v>
      </c>
      <c r="H66" s="65" t="n">
        <v>-25</v>
      </c>
      <c r="I66" s="54" t="n">
        <v>-125</v>
      </c>
    </row>
    <row r="67">
      <c r="B67" s="55" t="inlineStr">
        <is>
          <t xml:space="preserve">  IT Equipment &amp; Furniture</t>
        </is>
      </c>
      <c r="D67" s="65" t="n">
        <v>-30</v>
      </c>
      <c r="E67" s="65" t="n">
        <v>-50</v>
      </c>
      <c r="F67" s="65" t="n">
        <v>-60</v>
      </c>
      <c r="G67" s="65" t="n">
        <v>-60</v>
      </c>
      <c r="H67" s="65" t="n">
        <v>-60</v>
      </c>
      <c r="I67" s="54" t="n">
        <v>-260</v>
      </c>
    </row>
    <row r="68">
      <c r="B68" s="55" t="inlineStr">
        <is>
          <t xml:space="preserve">  Licenses &amp; Software</t>
        </is>
      </c>
      <c r="D68" s="65" t="n">
        <v>-20</v>
      </c>
      <c r="E68" s="65" t="n">
        <v>-30</v>
      </c>
      <c r="F68" s="65" t="n">
        <v>-40</v>
      </c>
      <c r="G68" s="65" t="n">
        <v>-40</v>
      </c>
      <c r="H68" s="65" t="n">
        <v>-40</v>
      </c>
      <c r="I68" s="54" t="n">
        <v>-170</v>
      </c>
    </row>
    <row r="69">
      <c r="B69" s="24" t="inlineStr"/>
    </row>
    <row r="70">
      <c r="B70" s="57" t="inlineStr">
        <is>
          <t>OPERATING INCOME (EBIT)</t>
        </is>
      </c>
      <c r="D70" s="66" t="n">
        <v>-671</v>
      </c>
      <c r="E70" s="58" t="n">
        <v>1172</v>
      </c>
      <c r="F70" s="58" t="n">
        <v>5940</v>
      </c>
      <c r="G70" s="58" t="n">
        <v>13176</v>
      </c>
      <c r="H70" s="58" t="n">
        <v>26925</v>
      </c>
      <c r="I70" s="58" t="n">
        <v>46542</v>
      </c>
    </row>
    <row r="71">
      <c r="B71" s="24" t="inlineStr"/>
    </row>
    <row r="72">
      <c r="B72" s="24" t="inlineStr">
        <is>
          <t>Financial Income</t>
        </is>
      </c>
      <c r="D72" s="54" t="n">
        <v>0</v>
      </c>
      <c r="E72" s="54" t="n">
        <v>5</v>
      </c>
      <c r="F72" s="54" t="n">
        <v>30</v>
      </c>
      <c r="G72" s="54" t="n">
        <v>100</v>
      </c>
      <c r="H72" s="54" t="n">
        <v>200</v>
      </c>
      <c r="I72" s="54" t="n">
        <v>335</v>
      </c>
    </row>
    <row r="73">
      <c r="B73" s="24" t="inlineStr">
        <is>
          <t>Financial Costs</t>
        </is>
      </c>
      <c r="D73" s="54" t="n">
        <v>0</v>
      </c>
      <c r="E73" s="54" t="n">
        <v>0</v>
      </c>
      <c r="F73" s="54" t="n">
        <v>0</v>
      </c>
      <c r="G73" s="54" t="n">
        <v>0</v>
      </c>
      <c r="H73" s="54" t="n">
        <v>0</v>
      </c>
    </row>
    <row r="74">
      <c r="B74" s="59" t="inlineStr">
        <is>
          <t>FINANCIAL RESULT</t>
        </is>
      </c>
      <c r="D74" s="60" t="n">
        <v>0</v>
      </c>
      <c r="E74" s="60" t="n">
        <v>5</v>
      </c>
      <c r="F74" s="60" t="n">
        <v>30</v>
      </c>
      <c r="G74" s="60" t="n">
        <v>100</v>
      </c>
      <c r="H74" s="60" t="n">
        <v>200</v>
      </c>
      <c r="I74" s="54" t="n">
        <v>335</v>
      </c>
    </row>
    <row r="75">
      <c r="B75" s="24" t="inlineStr"/>
    </row>
    <row r="76">
      <c r="B76" s="57" t="inlineStr">
        <is>
          <t>PROFIT BEFORE TAX</t>
        </is>
      </c>
      <c r="D76" s="66" t="n">
        <v>-671</v>
      </c>
      <c r="E76" s="58" t="n">
        <v>1177</v>
      </c>
      <c r="F76" s="58" t="n">
        <v>5970</v>
      </c>
      <c r="G76" s="58" t="n">
        <v>13276</v>
      </c>
      <c r="H76" s="58" t="n">
        <v>27125</v>
      </c>
      <c r="I76" s="58" t="n">
        <v>46877</v>
      </c>
    </row>
    <row r="77">
      <c r="B77" s="24" t="inlineStr"/>
    </row>
    <row r="78">
      <c r="B78" s="24" t="inlineStr">
        <is>
          <t>Corporate Tax (IS)</t>
        </is>
      </c>
      <c r="D78" s="54" t="n">
        <v>0</v>
      </c>
      <c r="E78" s="54" t="n">
        <v>-69</v>
      </c>
      <c r="F78" s="65" t="n">
        <v>-819</v>
      </c>
      <c r="G78" s="65" t="n">
        <v>-1821</v>
      </c>
      <c r="H78" s="65" t="n">
        <v>-3722</v>
      </c>
      <c r="I78" s="54" t="n">
        <v>-6431</v>
      </c>
    </row>
    <row r="79">
      <c r="B79" s="24" t="inlineStr">
        <is>
          <t xml:space="preserve">  Taux IS effectif</t>
        </is>
      </c>
      <c r="D79" s="80" t="n">
        <v>0</v>
      </c>
      <c r="E79" s="80" t="n">
        <v>0</v>
      </c>
      <c r="F79" s="80" t="n">
        <v>0.1372</v>
      </c>
      <c r="G79" s="80" t="n">
        <v>0.1372</v>
      </c>
      <c r="H79" s="80" t="n">
        <v>0.1372</v>
      </c>
    </row>
    <row r="80">
      <c r="B80" s="55" t="inlineStr">
        <is>
          <t xml:space="preserve">  Loss carryforward used</t>
        </is>
      </c>
      <c r="D80" s="56" t="n">
        <v>0</v>
      </c>
      <c r="E80" s="56" t="n">
        <v>0</v>
      </c>
      <c r="F80" s="56" t="n">
        <v>660</v>
      </c>
      <c r="G80" s="56" t="n">
        <v>0</v>
      </c>
      <c r="H80" s="56" t="n">
        <v>0</v>
      </c>
      <c r="I80" s="54" t="n">
        <v>660</v>
      </c>
    </row>
    <row r="81">
      <c r="B81" s="24" t="inlineStr"/>
    </row>
    <row r="82">
      <c r="B82" s="61" t="inlineStr">
        <is>
          <t>NET INCOME</t>
        </is>
      </c>
      <c r="D82" s="62" t="n">
        <v>-671</v>
      </c>
      <c r="E82" s="63" t="n">
        <v>1108</v>
      </c>
      <c r="F82" s="63" t="n">
        <v>5151</v>
      </c>
      <c r="G82" s="63" t="n">
        <v>11455</v>
      </c>
      <c r="H82" s="63" t="n">
        <v>23403</v>
      </c>
      <c r="I82" s="63" t="n">
        <v>40446</v>
      </c>
    </row>
    <row r="83">
      <c r="B83" s="24" t="inlineStr">
        <is>
          <t>Net Margin %</t>
        </is>
      </c>
      <c r="D83" s="64" t="n">
        <v>-0.4461436170212766</v>
      </c>
      <c r="E83" s="64" t="n">
        <v>0.258455796594355</v>
      </c>
      <c r="F83" s="64" t="n">
        <v>0.5291217257318952</v>
      </c>
      <c r="G83" s="64" t="n">
        <v>0.6402660555586608</v>
      </c>
      <c r="H83" s="64" t="n">
        <v>0.7295199501246883</v>
      </c>
    </row>
    <row r="86">
      <c r="B86" s="67" t="inlineStr">
        <is>
          <t>Notes:</t>
        </is>
      </c>
    </row>
    <row r="87">
      <c r="B87" s="68" t="inlineStr">
        <is>
          <t>• Tous les salaires sont 'fully loaded' (brut + charges patronales ~50%)</t>
        </is>
      </c>
    </row>
    <row r="88">
      <c r="B88" s="68" t="inlineStr">
        <is>
          <t>• Taux IS effectif 13.72% (Canton of Fribourg: federal + cantonal + municipal)</t>
        </is>
      </c>
    </row>
    <row r="89">
      <c r="B89" s="68" t="inlineStr">
        <is>
          <t>• LLM and external data costs are borne by clients</t>
        </is>
      </c>
    </row>
    <row r="90">
      <c r="B90" s="68" t="inlineStr">
        <is>
          <t>• Financial Income: interest on excess cash from 2028</t>
        </is>
      </c>
    </row>
    <row r="93">
      <c r="B93" s="69" t="inlineStr">
        <is>
          <t>COMPAPBTSON AVEC FUNDING NEEDS V5 (M€)</t>
        </is>
      </c>
      <c r="D93" s="24" t="n">
        <v>-720</v>
      </c>
      <c r="E93" s="24" t="n">
        <v>1074</v>
      </c>
      <c r="F93" s="24" t="n">
        <v>5759</v>
      </c>
      <c r="G93" s="24" t="n">
        <v>12959</v>
      </c>
      <c r="H93" s="24" t="n">
        <v>26664</v>
      </c>
      <c r="I93" s="24" t="n">
        <v>45736</v>
      </c>
    </row>
    <row r="95">
      <c r="B95" s="70" t="inlineStr">
        <is>
          <t>Funding Needs V5 - Revenues</t>
        </is>
      </c>
      <c r="D95" s="71" t="n">
        <v>1</v>
      </c>
      <c r="E95" s="71" t="n">
        <v>4.4</v>
      </c>
      <c r="F95" s="71" t="n">
        <v>10</v>
      </c>
      <c r="G95" s="71" t="n">
        <v>18</v>
      </c>
      <c r="H95" s="71" t="n">
        <v>33</v>
      </c>
    </row>
    <row r="96">
      <c r="B96" s="70" t="inlineStr">
        <is>
          <t>Funding Needs V5 - Costs</t>
        </is>
      </c>
      <c r="D96" s="71" t="n">
        <v>2.1</v>
      </c>
      <c r="E96" s="71" t="n">
        <v>3.1</v>
      </c>
      <c r="F96" s="71" t="n">
        <v>3.7</v>
      </c>
      <c r="G96" s="71" t="n">
        <v>4.7</v>
      </c>
      <c r="H96" s="71" t="n">
        <v>5.1</v>
      </c>
    </row>
    <row r="97">
      <c r="B97" s="70" t="inlineStr">
        <is>
          <t>Funding Needs V5 - Net Result</t>
        </is>
      </c>
      <c r="D97" s="71" t="n">
        <v>-1.1</v>
      </c>
      <c r="E97" s="71" t="n">
        <v>1.3</v>
      </c>
      <c r="F97" s="71" t="n">
        <v>6.3</v>
      </c>
      <c r="G97" s="71" t="n">
        <v>13.4</v>
      </c>
      <c r="H97" s="71" t="n">
        <v>27.9</v>
      </c>
    </row>
    <row r="98">
      <c r="B98" s="24" t="inlineStr"/>
    </row>
    <row r="99">
      <c r="B99" s="59" t="inlineStr">
        <is>
          <t>Detailed BP - Revenues</t>
        </is>
      </c>
      <c r="D99" s="71" t="n">
        <v>1.54</v>
      </c>
      <c r="E99" s="71" t="n">
        <v>4.43</v>
      </c>
      <c r="F99" s="71" t="n">
        <v>10.07</v>
      </c>
      <c r="G99" s="71" t="n">
        <v>18.59</v>
      </c>
      <c r="H99" s="71" t="n">
        <v>33.38</v>
      </c>
    </row>
    <row r="100">
      <c r="B100" s="59" t="inlineStr">
        <is>
          <t>Detailed BP - Costs</t>
        </is>
      </c>
      <c r="D100" s="71" t="n">
        <v>2.15</v>
      </c>
      <c r="E100" s="71" t="n">
        <v>3.09</v>
      </c>
      <c r="F100" s="71" t="n">
        <v>3.77</v>
      </c>
      <c r="G100" s="71" t="n">
        <v>4.69</v>
      </c>
      <c r="H100" s="71" t="n">
        <v>5.13</v>
      </c>
    </row>
    <row r="101">
      <c r="B101" s="59" t="inlineStr">
        <is>
          <t>Detailed BP - Net Result*</t>
        </is>
      </c>
      <c r="D101" s="71" t="n">
        <v>-0.61</v>
      </c>
      <c r="E101" s="71" t="n">
        <v>1.34</v>
      </c>
      <c r="F101" s="71" t="n">
        <v>6.3</v>
      </c>
      <c r="G101" s="71" t="n">
        <v>13.9</v>
      </c>
      <c r="H101" s="71" t="n">
        <v>28.25</v>
      </c>
    </row>
    <row r="103">
      <c r="B103" s="48" t="inlineStr">
        <is>
          <t>* Before D&amp;A, financial charges and tax</t>
        </is>
      </c>
      <c r="D103" s="24" t="n">
        <v>-25</v>
      </c>
      <c r="E103" s="24" t="n">
        <v>-25</v>
      </c>
      <c r="F103" s="24" t="n">
        <v>-25</v>
      </c>
      <c r="G103" s="24" t="n">
        <v>-25</v>
      </c>
      <c r="H103" s="24" t="n">
        <v>-25</v>
      </c>
      <c r="I103" s="24" t="n">
        <v>-125</v>
      </c>
    </row>
    <row r="106">
      <c r="B106" s="79" t="inlineStr">
        <is>
          <t>METHODOLOGICAL NOTES</t>
        </is>
      </c>
    </row>
    <row r="108">
      <c r="B108" s="68" t="inlineStr">
        <is>
          <t>• Salaries 'fully loaded' (50% de markup sur le brut) include:</t>
        </is>
      </c>
    </row>
    <row r="109">
      <c r="B109" s="68" t="inlineStr">
        <is>
          <t xml:space="preserve">   - Costs sociales statutory Switzerland (~15%): AVS/AI/APG 5.3%, AC 1.1%, LAA 0.5%, LPP ~5%, AF 2.3%</t>
        </is>
      </c>
    </row>
    <row r="110">
      <c r="B110" s="68" t="inlineStr">
        <is>
          <t xml:space="preserve">   - Overhead (~35%): IT equipment, licenses, training, remote workspace, supplementary insurance</t>
        </is>
      </c>
    </row>
    <row r="111">
      <c r="B111" s="68" t="inlineStr"/>
    </row>
    <row r="112">
      <c r="B112" s="68" t="inlineStr">
        <is>
          <t>• D&amp;A: €25K/an pour licenses software (mostly remote team, no significant CAPEX)</t>
        </is>
      </c>
    </row>
    <row r="113">
      <c r="B113" s="68" t="inlineStr"/>
    </row>
    <row r="114">
      <c r="B114" s="68" t="inlineStr">
        <is>
          <t>• Taux IS: 13.72% (Canton of Fribourg: federal + cantonal + municipal)</t>
        </is>
      </c>
    </row>
    <row r="115">
      <c r="B115" s="68" t="inlineStr"/>
    </row>
    <row r="116">
      <c r="B116" s="68" t="inlineStr">
        <is>
          <t>• TVA: Export exemption (100% des clients hors Switzerland)</t>
        </is>
      </c>
    </row>
    <row r="117">
      <c r="B117" s="68" t="inlineStr"/>
    </row>
    <row r="118">
      <c r="B118" s="68" t="inlineStr">
        <is>
          <t>• LLM and external data costs are borne by clients (non included dyears ce P&amp;L)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K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4" min="2" max="2"/>
    <col width="8" customWidth="1" style="24" min="3" max="3"/>
    <col width="12" customWidth="1" style="24" min="4" max="8"/>
    <col width="20" customWidth="1" style="24" min="10" max="10"/>
    <col width="12" customWidth="1" style="24" min="11" max="11"/>
  </cols>
  <sheetData>
    <row r="2" ht="17.35" customHeight="1" s="25">
      <c r="B2" s="27" t="inlineStr">
        <is>
          <t>Swiss 6022 - Key Endancial Metrics</t>
        </is>
      </c>
    </row>
    <row r="4" ht="15" customHeight="1" s="25">
      <c r="B4" s="30" t="inlineStr">
        <is>
          <t>Metric</t>
        </is>
      </c>
      <c r="C4" s="30" t="inlineStr">
        <is>
          <t>Unit</t>
        </is>
      </c>
      <c r="D4" s="38" t="n">
        <v>2026</v>
      </c>
      <c r="E4" s="38" t="n">
        <v>2027</v>
      </c>
      <c r="F4" s="38" t="n">
        <v>2028</v>
      </c>
      <c r="G4" s="38" t="n">
        <v>2029</v>
      </c>
      <c r="H4" s="38" t="n">
        <v>2030</v>
      </c>
    </row>
    <row r="6" ht="15" customHeight="1" s="25">
      <c r="B6" s="31" t="inlineStr">
        <is>
          <t>Total Revenue</t>
        </is>
      </c>
      <c r="C6" s="24" t="inlineStr">
        <is>
          <t>K€</t>
        </is>
      </c>
      <c r="D6" s="36" t="n">
        <v>1540</v>
      </c>
      <c r="E6" s="36" t="n">
        <v>4431</v>
      </c>
      <c r="F6" s="36" t="n">
        <v>10071</v>
      </c>
      <c r="G6" s="36" t="n">
        <v>18587</v>
      </c>
      <c r="H6" s="36" t="n">
        <v>33376</v>
      </c>
      <c r="J6" s="29" t="inlineStr">
        <is>
          <t>Key milestones</t>
        </is>
      </c>
    </row>
    <row r="7" ht="15" customHeight="1" s="25">
      <c r="B7" s="31" t="inlineStr">
        <is>
          <t>Revenue YoY Growth</t>
        </is>
      </c>
      <c r="C7" s="24" t="inlineStr">
        <is>
          <t>%</t>
        </is>
      </c>
      <c r="E7" s="35" t="n">
        <v>1.88</v>
      </c>
      <c r="F7" s="35" t="n">
        <v>1.27</v>
      </c>
      <c r="G7" s="35" t="n">
        <v>0.85</v>
      </c>
      <c r="H7" s="35" t="n">
        <v>0.8</v>
      </c>
    </row>
    <row r="8" ht="15" customHeight="1" s="25">
      <c r="B8" s="31" t="inlineStr">
        <is>
          <t>Setup Revenue</t>
        </is>
      </c>
      <c r="C8" s="24" t="inlineStr">
        <is>
          <t>K€</t>
        </is>
      </c>
      <c r="D8" s="36" t="n">
        <v>980</v>
      </c>
      <c r="E8" s="36" t="n">
        <v>2600</v>
      </c>
      <c r="F8" s="36" t="n">
        <v>5500</v>
      </c>
      <c r="G8" s="36" t="n">
        <v>9200</v>
      </c>
      <c r="H8" s="36" t="n">
        <v>14700</v>
      </c>
      <c r="J8" s="24" t="inlineStr">
        <is>
          <t>Break-even:</t>
        </is>
      </c>
      <c r="K8" s="24" t="inlineStr">
        <is>
          <t>2027</t>
        </is>
      </c>
    </row>
    <row r="9" ht="15" customHeight="1" s="25">
      <c r="B9" s="31" t="inlineStr">
        <is>
          <t>Recurring Revenue</t>
        </is>
      </c>
      <c r="C9" s="24" t="inlineStr">
        <is>
          <t>K€</t>
        </is>
      </c>
      <c r="D9" s="36" t="n">
        <v>560</v>
      </c>
      <c r="E9" s="36" t="n">
        <v>1831</v>
      </c>
      <c r="F9" s="36" t="n">
        <v>4571</v>
      </c>
      <c r="G9" s="36" t="n">
        <v>9387</v>
      </c>
      <c r="H9" s="36" t="n">
        <v>18676</v>
      </c>
      <c r="J9" s="24" t="inlineStr">
        <is>
          <t>€10M Revenue:</t>
        </is>
      </c>
      <c r="K9" s="24" t="inlineStr">
        <is>
          <t>2028</t>
        </is>
      </c>
    </row>
    <row r="10" ht="15" customHeight="1" s="25">
      <c r="B10" s="31" t="inlineStr">
        <is>
          <t>Recurring %</t>
        </is>
      </c>
      <c r="C10" s="24" t="inlineStr">
        <is>
          <t>%</t>
        </is>
      </c>
      <c r="D10" s="35" t="n">
        <v>0.36</v>
      </c>
      <c r="E10" s="35" t="n">
        <v>0.41</v>
      </c>
      <c r="F10" s="35" t="n">
        <v>0.45</v>
      </c>
      <c r="G10" s="35" t="n">
        <v>0.51</v>
      </c>
      <c r="H10" s="35" t="n">
        <v>0.5600000000000001</v>
      </c>
      <c r="J10" s="24" t="inlineStr">
        <is>
          <t>€60M Cumulative:</t>
        </is>
      </c>
      <c r="K10" s="24" t="inlineStr">
        <is>
          <t>2030</t>
        </is>
      </c>
    </row>
    <row r="11" ht="15" customHeight="1" s="25">
      <c r="J11" s="24" t="inlineStr">
        <is>
          <t>€1B Token Market Cap:</t>
        </is>
      </c>
      <c r="K11" s="24" t="inlineStr">
        <is>
          <t>2030+</t>
        </is>
      </c>
    </row>
    <row r="12" ht="15" customHeight="1" s="25">
      <c r="B12" s="31" t="inlineStr">
        <is>
          <t>Total Costs</t>
        </is>
      </c>
      <c r="C12" s="24" t="inlineStr">
        <is>
          <t>K€</t>
        </is>
      </c>
      <c r="D12" s="36" t="n">
        <v>2100</v>
      </c>
      <c r="E12" s="36" t="n">
        <v>3100</v>
      </c>
      <c r="F12" s="36" t="n">
        <v>3700</v>
      </c>
      <c r="G12" s="36" t="n">
        <v>4700</v>
      </c>
      <c r="H12" s="36" t="n">
        <v>5100</v>
      </c>
    </row>
    <row r="13" ht="15" customHeight="1" s="25">
      <c r="B13" s="31" t="inlineStr">
        <is>
          <t>Cost Growth YoY</t>
        </is>
      </c>
      <c r="C13" s="24" t="inlineStr">
        <is>
          <t>%</t>
        </is>
      </c>
      <c r="E13" s="35" t="n">
        <v>0.48</v>
      </c>
      <c r="F13" s="35" t="n">
        <v>0.19</v>
      </c>
      <c r="G13" s="35" t="n">
        <v>0.27</v>
      </c>
      <c r="H13" s="35" t="n">
        <v>0.09</v>
      </c>
    </row>
    <row r="15" ht="15" customHeight="1" s="25">
      <c r="B15" s="31" t="inlineStr">
        <is>
          <t>EBITDA</t>
        </is>
      </c>
      <c r="C15" s="24" t="inlineStr">
        <is>
          <t>K€</t>
        </is>
      </c>
      <c r="D15" s="36" t="n">
        <v>-560</v>
      </c>
      <c r="E15" s="36" t="n">
        <v>1331</v>
      </c>
      <c r="F15" s="36" t="n">
        <v>6371</v>
      </c>
      <c r="G15" s="36" t="n">
        <v>13887</v>
      </c>
      <c r="H15" s="36" t="n">
        <v>28276</v>
      </c>
    </row>
    <row r="16" ht="15" customHeight="1" s="25">
      <c r="B16" s="31" t="inlineStr">
        <is>
          <t>EBITDA Margin</t>
        </is>
      </c>
      <c r="C16" s="24" t="inlineStr">
        <is>
          <t>%</t>
        </is>
      </c>
      <c r="D16" s="35" t="n">
        <v>-0.36</v>
      </c>
      <c r="E16" s="35" t="n">
        <v>0.3</v>
      </c>
      <c r="F16" s="35" t="n">
        <v>0.63</v>
      </c>
      <c r="G16" s="35" t="n">
        <v>0.75</v>
      </c>
      <c r="H16" s="35" t="n">
        <v>0.85</v>
      </c>
    </row>
    <row r="18" ht="15" customHeight="1" s="25">
      <c r="B18" s="31" t="inlineStr">
        <is>
          <t>Net Result</t>
        </is>
      </c>
      <c r="C18" s="24" t="inlineStr">
        <is>
          <t>K€</t>
        </is>
      </c>
      <c r="D18" s="36" t="n">
        <v>-660</v>
      </c>
      <c r="E18" s="36" t="n">
        <v>1266</v>
      </c>
      <c r="F18" s="36" t="n">
        <v>5384</v>
      </c>
      <c r="G18" s="36" t="n">
        <v>11990</v>
      </c>
      <c r="H18" s="36" t="n">
        <v>24457</v>
      </c>
    </row>
    <row r="19" ht="15" customHeight="1" s="25">
      <c r="B19" s="31" t="inlineStr">
        <is>
          <t>Cumulative Cash</t>
        </is>
      </c>
      <c r="C19" s="24" t="inlineStr">
        <is>
          <t>M€</t>
        </is>
      </c>
      <c r="D19" s="36" t="n">
        <v>-1.1</v>
      </c>
      <c r="E19" s="36" t="n">
        <v>0.2</v>
      </c>
      <c r="F19" s="36" t="n">
        <v>6.4</v>
      </c>
      <c r="G19" s="36" t="n">
        <v>19.8</v>
      </c>
      <c r="H19" s="36" t="n">
        <v>47.7</v>
      </c>
    </row>
    <row r="21" ht="15" customHeight="1" s="25">
      <c r="B21" s="31" t="inlineStr">
        <is>
          <t>Headcount EoY</t>
        </is>
      </c>
      <c r="C21" s="24" t="inlineStr">
        <is>
          <t>#</t>
        </is>
      </c>
      <c r="D21" s="24" t="n">
        <v>11</v>
      </c>
      <c r="E21" s="24" t="n">
        <v>16</v>
      </c>
      <c r="F21" s="24" t="n">
        <v>21</v>
      </c>
      <c r="G21" s="24" t="n">
        <v>28</v>
      </c>
      <c r="H21" s="24" t="n">
        <v>33</v>
      </c>
    </row>
    <row r="22" ht="15" customHeight="1" s="25">
      <c r="B22" s="31" t="inlineStr">
        <is>
          <t>Total Customers</t>
        </is>
      </c>
      <c r="C22" s="24" t="inlineStr">
        <is>
          <t>#</t>
        </is>
      </c>
      <c r="D22" s="24" t="n">
        <v>11</v>
      </c>
      <c r="E22" s="24" t="n">
        <v>31</v>
      </c>
      <c r="F22" s="24" t="n">
        <v>71</v>
      </c>
      <c r="G22" s="24" t="n">
        <v>137</v>
      </c>
      <c r="H22" s="24" t="n">
        <v>237</v>
      </c>
    </row>
    <row r="23" ht="15" customHeight="1" s="25">
      <c r="B23" s="31" t="inlineStr">
        <is>
          <t>New Customers</t>
        </is>
      </c>
      <c r="C23" s="24" t="inlineStr">
        <is>
          <t>#</t>
        </is>
      </c>
      <c r="D23" s="24" t="n">
        <v>9</v>
      </c>
      <c r="E23" s="24" t="n">
        <v>20</v>
      </c>
      <c r="F23" s="24" t="n">
        <v>40</v>
      </c>
      <c r="G23" s="24" t="n">
        <v>66</v>
      </c>
      <c r="H23" s="24" t="n">
        <v>100</v>
      </c>
    </row>
    <row r="25" ht="15" customHeight="1" s="25">
      <c r="B25" s="31" t="inlineStr">
        <is>
          <t>Token Price</t>
        </is>
      </c>
      <c r="C25" s="24" t="inlineStr">
        <is>
          <t>€</t>
        </is>
      </c>
      <c r="D25" s="24" t="n">
        <v>0.005</v>
      </c>
      <c r="E25" s="24" t="n">
        <v>0.01</v>
      </c>
      <c r="F25" s="24" t="n">
        <v>0.025</v>
      </c>
      <c r="G25" s="24" t="n">
        <v>0.067</v>
      </c>
      <c r="H25" s="24" t="n">
        <v>0.221</v>
      </c>
    </row>
    <row r="26" ht="15" customHeight="1" s="25">
      <c r="B26" s="31" t="inlineStr">
        <is>
          <t>Token Market Cap</t>
        </is>
      </c>
      <c r="C26" s="24" t="inlineStr">
        <is>
          <t>M€</t>
        </is>
      </c>
      <c r="D26" s="36" t="n">
        <v>5</v>
      </c>
      <c r="E26" s="36" t="n">
        <v>10</v>
      </c>
      <c r="F26" s="36" t="n">
        <v>25</v>
      </c>
      <c r="G26" s="36" t="n">
        <v>67</v>
      </c>
      <c r="H26" s="36" t="n">
        <v>221</v>
      </c>
    </row>
    <row r="27" ht="15" customHeight="1" s="25">
      <c r="B27" s="31" t="inlineStr">
        <is>
          <t>Swiss 6022 Token Assets</t>
        </is>
      </c>
      <c r="C27" s="24" t="inlineStr">
        <is>
          <t>M€</t>
        </is>
      </c>
      <c r="D27" s="36" t="n">
        <v>2</v>
      </c>
      <c r="E27" s="36" t="n">
        <v>4</v>
      </c>
      <c r="F27" s="36" t="n">
        <v>10</v>
      </c>
      <c r="G27" s="36" t="n">
        <v>27</v>
      </c>
      <c r="H27" s="36" t="n">
        <v>88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I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4" min="2" max="3"/>
    <col width="15" customWidth="1" style="24" min="4" max="4"/>
    <col width="10" customWidth="1" style="24" min="5" max="9"/>
  </cols>
  <sheetData>
    <row r="2" ht="17.35" customHeight="1" s="25">
      <c r="B2" s="27" t="inlineStr">
        <is>
          <t>SALARIES - By Growth Driver &amp; Role</t>
        </is>
      </c>
    </row>
    <row r="4" ht="15" customHeight="1" s="25">
      <c r="B4" s="29" t="inlineStr">
        <is>
          <t>Assumptions</t>
        </is>
      </c>
    </row>
    <row r="5" ht="15" customHeight="1" s="25">
      <c r="B5" s="32" t="inlineStr">
        <is>
          <t>All costs are fully loaded (salary + charges + overhead)</t>
        </is>
      </c>
    </row>
    <row r="7" ht="15" customHeight="1" s="25">
      <c r="B7" s="30" t="inlineStr">
        <is>
          <t>Growth Driver</t>
        </is>
      </c>
      <c r="C7" s="30" t="inlineStr">
        <is>
          <t>Role</t>
        </is>
      </c>
      <c r="D7" s="30" t="inlineStr">
        <is>
          <t>Cost/FTE (K€)</t>
        </is>
      </c>
      <c r="E7" s="30" t="inlineStr">
        <is>
          <t>2026</t>
        </is>
      </c>
      <c r="F7" s="30" t="inlineStr">
        <is>
          <t>2027</t>
        </is>
      </c>
      <c r="G7" s="30" t="inlineStr">
        <is>
          <t>2028</t>
        </is>
      </c>
      <c r="H7" s="30" t="inlineStr">
        <is>
          <t>2029</t>
        </is>
      </c>
      <c r="I7" s="30" t="inlineStr">
        <is>
          <t>2030</t>
        </is>
      </c>
    </row>
    <row r="8" ht="15" customHeight="1" s="25">
      <c r="B8" s="24" t="inlineStr">
        <is>
          <t>GD1 - Platform</t>
        </is>
      </c>
      <c r="C8" s="24" t="inlineStr">
        <is>
          <t>Core Engineer</t>
        </is>
      </c>
      <c r="D8" s="33" t="n">
        <v>150</v>
      </c>
      <c r="E8" s="24" t="n">
        <v>2</v>
      </c>
      <c r="F8" s="24" t="n">
        <v>3</v>
      </c>
      <c r="G8" s="24" t="n">
        <v>3</v>
      </c>
      <c r="H8" s="24" t="n">
        <v>3</v>
      </c>
      <c r="I8" s="24" t="n">
        <v>3</v>
      </c>
    </row>
    <row r="9" ht="15" customHeight="1" s="25">
      <c r="B9" s="24" t="inlineStr">
        <is>
          <t>GD2 - Swarm R&amp;D</t>
        </is>
      </c>
      <c r="C9" s="24" t="inlineStr">
        <is>
          <t>PhD Researcher</t>
        </is>
      </c>
      <c r="D9" s="33" t="n">
        <v>100</v>
      </c>
      <c r="E9" s="24" t="n">
        <v>1</v>
      </c>
      <c r="F9" s="24" t="n">
        <v>1</v>
      </c>
      <c r="G9" s="24" t="n">
        <v>1</v>
      </c>
      <c r="H9" s="24" t="n">
        <v>2</v>
      </c>
      <c r="I9" s="24" t="n">
        <v>2</v>
      </c>
    </row>
    <row r="10" ht="15" customHeight="1" s="25">
      <c r="B10" s="24" t="inlineStr">
        <is>
          <t>GD3 - Delivery</t>
        </is>
      </c>
      <c r="C10" s="24" t="inlineStr">
        <is>
          <t>Solution Architect</t>
        </is>
      </c>
      <c r="D10" s="33" t="n">
        <v>120</v>
      </c>
      <c r="E10" s="24" t="n">
        <v>1</v>
      </c>
      <c r="F10" s="24" t="n">
        <v>2</v>
      </c>
      <c r="G10" s="24" t="n">
        <v>2</v>
      </c>
      <c r="H10" s="24" t="n">
        <v>2</v>
      </c>
      <c r="I10" s="24" t="n">
        <v>2</v>
      </c>
    </row>
    <row r="11" ht="15" customHeight="1" s="25">
      <c r="B11" s="24" t="inlineStr">
        <is>
          <t>GD3 - Delivery</t>
        </is>
      </c>
      <c r="C11" s="24" t="inlineStr">
        <is>
          <t>Customer Success Manager</t>
        </is>
      </c>
      <c r="D11" s="33" t="n">
        <v>100</v>
      </c>
      <c r="E11" s="24" t="n">
        <v>1</v>
      </c>
      <c r="F11" s="24" t="n">
        <v>2</v>
      </c>
      <c r="G11" s="24" t="n">
        <v>5</v>
      </c>
      <c r="H11" s="24" t="n">
        <v>9</v>
      </c>
      <c r="I11" s="24" t="n">
        <v>13</v>
      </c>
    </row>
    <row r="12" ht="15" customHeight="1" s="25">
      <c r="B12" s="24" t="inlineStr">
        <is>
          <t>GD3 - Delivery</t>
        </is>
      </c>
      <c r="C12" s="24" t="inlineStr">
        <is>
          <t>Trainer</t>
        </is>
      </c>
      <c r="D12" s="33" t="n">
        <v>90</v>
      </c>
      <c r="E12" s="24" t="n">
        <v>1</v>
      </c>
      <c r="F12" s="24" t="n">
        <v>1</v>
      </c>
      <c r="G12" s="24" t="n">
        <v>2</v>
      </c>
      <c r="H12" s="24" t="n">
        <v>3</v>
      </c>
      <c r="I12" s="24" t="n">
        <v>4</v>
      </c>
    </row>
    <row r="13" ht="15" customHeight="1" s="25">
      <c r="B13" s="24" t="inlineStr">
        <is>
          <t>GD3 - Delivery</t>
        </is>
      </c>
      <c r="C13" s="24" t="inlineStr">
        <is>
          <t>Delivery Manager</t>
        </is>
      </c>
      <c r="D13" s="33" t="n">
        <v>130</v>
      </c>
      <c r="E13" s="24" t="n">
        <v>0</v>
      </c>
      <c r="F13" s="24" t="n">
        <v>1</v>
      </c>
      <c r="G13" s="24" t="n">
        <v>1</v>
      </c>
      <c r="H13" s="24" t="n">
        <v>1</v>
      </c>
      <c r="I13" s="24" t="n">
        <v>1</v>
      </c>
    </row>
    <row r="14" ht="15" customHeight="1" s="25">
      <c r="B14" s="24" t="inlineStr">
        <is>
          <t>GD4 - Sales</t>
        </is>
      </c>
      <c r="C14" s="24" t="inlineStr">
        <is>
          <t>Partner Manager</t>
        </is>
      </c>
      <c r="D14" s="33" t="n">
        <v>110</v>
      </c>
      <c r="E14" s="24" t="n">
        <v>1</v>
      </c>
      <c r="F14" s="24" t="n">
        <v>1</v>
      </c>
      <c r="G14" s="24" t="n">
        <v>1</v>
      </c>
      <c r="H14" s="24" t="n">
        <v>1</v>
      </c>
      <c r="I14" s="24" t="n">
        <v>1</v>
      </c>
    </row>
    <row r="15" ht="15" customHeight="1" s="25">
      <c r="B15" s="24" t="inlineStr">
        <is>
          <t>GD4 - Sales</t>
        </is>
      </c>
      <c r="C15" s="24" t="inlineStr">
        <is>
          <t>Marketing Lead</t>
        </is>
      </c>
      <c r="D15" s="33" t="n">
        <v>110</v>
      </c>
      <c r="E15" s="24" t="n">
        <v>1</v>
      </c>
      <c r="F15" s="24" t="n">
        <v>1</v>
      </c>
      <c r="G15" s="24" t="n">
        <v>1</v>
      </c>
      <c r="H15" s="24" t="n">
        <v>1</v>
      </c>
      <c r="I15" s="24" t="n">
        <v>1</v>
      </c>
    </row>
    <row r="16" ht="15" customHeight="1" s="25">
      <c r="B16" s="24" t="inlineStr">
        <is>
          <t>GD4 - Sales</t>
        </is>
      </c>
      <c r="C16" s="24" t="inlineStr">
        <is>
          <t>Sales Executive</t>
        </is>
      </c>
      <c r="D16" s="33" t="n">
        <v>140</v>
      </c>
      <c r="E16" s="24" t="n">
        <v>1</v>
      </c>
      <c r="F16" s="24" t="n">
        <v>2</v>
      </c>
      <c r="G16" s="24" t="n">
        <v>4</v>
      </c>
      <c r="H16" s="24" t="n">
        <v>6</v>
      </c>
      <c r="I16" s="24" t="n">
        <v>6</v>
      </c>
    </row>
    <row r="17" ht="15" customHeight="1" s="25">
      <c r="B17" s="24" t="inlineStr">
        <is>
          <t>GD5 - Token</t>
        </is>
      </c>
      <c r="C17" s="24" t="inlineStr">
        <is>
          <t>Token Economy Specialist</t>
        </is>
      </c>
      <c r="D17" s="33" t="n">
        <v>150</v>
      </c>
      <c r="E17" s="24" t="n">
        <v>0</v>
      </c>
      <c r="F17" s="24" t="n">
        <v>1</v>
      </c>
      <c r="G17" s="24" t="n">
        <v>1</v>
      </c>
      <c r="H17" s="24" t="n">
        <v>1</v>
      </c>
      <c r="I17" s="24" t="n">
        <v>1</v>
      </c>
    </row>
    <row r="18" ht="15" customHeight="1" s="25">
      <c r="B18" s="24" t="inlineStr">
        <is>
          <t>Operating</t>
        </is>
      </c>
      <c r="C18" s="24" t="inlineStr">
        <is>
          <t>CEO</t>
        </is>
      </c>
      <c r="D18" s="33" t="n">
        <v>180</v>
      </c>
      <c r="E18" s="24" t="n">
        <v>1</v>
      </c>
      <c r="F18" s="24" t="n">
        <v>1</v>
      </c>
      <c r="G18" s="24" t="n">
        <v>1</v>
      </c>
      <c r="H18" s="24" t="n">
        <v>1</v>
      </c>
      <c r="I18" s="24" t="n">
        <v>1</v>
      </c>
    </row>
    <row r="19" ht="15" customHeight="1" s="25">
      <c r="B19" s="24" t="inlineStr">
        <is>
          <t>Operating</t>
        </is>
      </c>
      <c r="C19" s="24" t="inlineStr">
        <is>
          <t>CSO</t>
        </is>
      </c>
      <c r="D19" s="33" t="n">
        <v>180</v>
      </c>
      <c r="E19" s="24" t="n">
        <v>1</v>
      </c>
      <c r="F19" s="24" t="n">
        <v>1</v>
      </c>
      <c r="G19" s="24" t="n">
        <v>1</v>
      </c>
      <c r="H19" s="24" t="n">
        <v>1</v>
      </c>
      <c r="I19" s="24" t="n">
        <v>1</v>
      </c>
    </row>
    <row r="21" ht="15" customHeight="1" s="25">
      <c r="B21" s="39" t="inlineStr">
        <is>
          <t>TOTAL FTEs</t>
        </is>
      </c>
      <c r="E21" s="39" t="n">
        <v>11</v>
      </c>
      <c r="F21" s="39" t="n">
        <v>16</v>
      </c>
      <c r="G21" s="39" t="n">
        <v>21</v>
      </c>
      <c r="H21" s="39" t="n">
        <v>28</v>
      </c>
      <c r="I21" s="39" t="n">
        <v>33</v>
      </c>
    </row>
    <row r="24" ht="15" customHeight="1" s="25">
      <c r="B24" s="29" t="inlineStr">
        <is>
          <t>FTE Summary by Growth Driver</t>
        </is>
      </c>
    </row>
    <row r="25" ht="15" customHeight="1" s="25">
      <c r="B25" s="24" t="inlineStr">
        <is>
          <t>Growth Driver</t>
        </is>
      </c>
      <c r="E25" s="31" t="n">
        <v>2026</v>
      </c>
      <c r="F25" s="31" t="n">
        <v>2027</v>
      </c>
      <c r="G25" s="31" t="n">
        <v>2028</v>
      </c>
      <c r="H25" s="31" t="n">
        <v>2029</v>
      </c>
      <c r="I25" s="31" t="n">
        <v>2030</v>
      </c>
    </row>
    <row r="26" ht="15" customHeight="1" s="25">
      <c r="B26" s="24" t="inlineStr">
        <is>
          <t>GD1 - Enterprise Platform</t>
        </is>
      </c>
      <c r="E26" s="24" t="n">
        <v>2</v>
      </c>
      <c r="F26" s="24" t="n">
        <v>3</v>
      </c>
      <c r="G26" s="24" t="n">
        <v>3</v>
      </c>
      <c r="H26" s="24" t="n">
        <v>3</v>
      </c>
      <c r="I26" s="24" t="n">
        <v>3</v>
      </c>
    </row>
    <row r="27" ht="15" customHeight="1" s="25">
      <c r="B27" s="24" t="inlineStr">
        <is>
          <t>GD2 - Swarm R&amp;D AI</t>
        </is>
      </c>
      <c r="E27" s="24" t="n">
        <v>1</v>
      </c>
      <c r="F27" s="24" t="n">
        <v>1</v>
      </c>
      <c r="G27" s="24" t="n">
        <v>1</v>
      </c>
      <c r="H27" s="24" t="n">
        <v>2</v>
      </c>
      <c r="I27" s="24" t="n">
        <v>2</v>
      </c>
    </row>
    <row r="28" ht="15" customHeight="1" s="25">
      <c r="B28" s="24" t="inlineStr">
        <is>
          <t>GD3 - Delivery at Scale</t>
        </is>
      </c>
      <c r="E28" s="24" t="n">
        <v>3</v>
      </c>
      <c r="F28" s="24" t="n">
        <v>5</v>
      </c>
      <c r="G28" s="24" t="n">
        <v>8</v>
      </c>
      <c r="H28" s="24" t="n">
        <v>13</v>
      </c>
      <c r="I28" s="24" t="n">
        <v>17</v>
      </c>
    </row>
    <row r="29" ht="15" customHeight="1" s="25">
      <c r="B29" s="24" t="inlineStr">
        <is>
          <t>GD4 - Sales &amp; Partners</t>
        </is>
      </c>
      <c r="E29" s="24" t="n">
        <v>3</v>
      </c>
      <c r="F29" s="24" t="n">
        <v>4</v>
      </c>
      <c r="G29" s="24" t="n">
        <v>6</v>
      </c>
      <c r="H29" s="24" t="n">
        <v>8</v>
      </c>
      <c r="I29" s="24" t="n">
        <v>8</v>
      </c>
    </row>
    <row r="30" ht="15" customHeight="1" s="25">
      <c r="B30" s="24" t="inlineStr">
        <is>
          <t>GD5 - Token Economy</t>
        </is>
      </c>
      <c r="E30" s="24" t="n">
        <v>0</v>
      </c>
      <c r="F30" s="24" t="n">
        <v>1</v>
      </c>
      <c r="G30" s="24" t="n">
        <v>1</v>
      </c>
      <c r="H30" s="24" t="n">
        <v>1</v>
      </c>
      <c r="I30" s="24" t="n">
        <v>1</v>
      </c>
    </row>
    <row r="31" ht="15" customHeight="1" s="25">
      <c r="B31" s="24" t="inlineStr">
        <is>
          <t>Operating (CEO + CSO)</t>
        </is>
      </c>
      <c r="E31" s="24" t="n">
        <v>2</v>
      </c>
      <c r="F31" s="24" t="n">
        <v>2</v>
      </c>
      <c r="G31" s="24" t="n">
        <v>2</v>
      </c>
      <c r="H31" s="24" t="n">
        <v>2</v>
      </c>
      <c r="I31" s="24" t="n">
        <v>2</v>
      </c>
    </row>
    <row r="32" ht="15" customHeight="1" s="25">
      <c r="B32" s="31" t="inlineStr">
        <is>
          <t>TOTAL</t>
        </is>
      </c>
      <c r="E32" s="31" t="n">
        <v>11</v>
      </c>
      <c r="F32" s="31" t="n">
        <v>16</v>
      </c>
      <c r="G32" s="31" t="n">
        <v>21</v>
      </c>
      <c r="H32" s="31" t="n">
        <v>28</v>
      </c>
      <c r="I32" s="31" t="n">
        <v>33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H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4" min="2" max="2"/>
    <col width="12" customWidth="1" style="24" min="3" max="8"/>
  </cols>
  <sheetData>
    <row r="2" ht="17.35" customHeight="1" s="25">
      <c r="B2" s="27" t="inlineStr">
        <is>
          <t>SALES - Client Acquisition &amp; Revenue by Tier</t>
        </is>
      </c>
    </row>
    <row r="5" ht="15" customHeight="1" s="25">
      <c r="B5" s="29" t="inlineStr">
        <is>
          <t>NEW CLIENTS BY TIER &amp; MODE</t>
        </is>
      </c>
    </row>
    <row r="7" ht="15" customHeight="1" s="25">
      <c r="B7" s="30" t="inlineStr">
        <is>
          <t>Tier</t>
        </is>
      </c>
      <c r="C7" s="30" t="inlineStr">
        <is>
          <t>Mode</t>
        </is>
      </c>
      <c r="D7" s="30" t="n">
        <v>2026</v>
      </c>
      <c r="E7" s="30" t="n">
        <v>2027</v>
      </c>
      <c r="F7" s="30" t="n">
        <v>2028</v>
      </c>
      <c r="G7" s="30" t="n">
        <v>2029</v>
      </c>
      <c r="H7" s="30" t="n">
        <v>2030</v>
      </c>
    </row>
    <row r="8" ht="15" customHeight="1" s="25">
      <c r="B8" s="24" t="inlineStr">
        <is>
          <t>Starter</t>
        </is>
      </c>
      <c r="C8" s="24" t="inlineStr">
        <is>
          <t>Buy</t>
        </is>
      </c>
      <c r="D8" s="33" t="n">
        <v>3</v>
      </c>
      <c r="E8" s="33" t="n">
        <v>5</v>
      </c>
      <c r="F8" s="33" t="n">
        <v>10</v>
      </c>
      <c r="G8" s="33" t="n">
        <v>15</v>
      </c>
      <c r="H8" s="33" t="n">
        <v>20</v>
      </c>
    </row>
    <row r="9" ht="15" customHeight="1" s="25">
      <c r="B9" s="24" t="inlineStr">
        <is>
          <t>Starter</t>
        </is>
      </c>
      <c r="C9" s="24" t="inlineStr">
        <is>
          <t>Rent</t>
        </is>
      </c>
      <c r="D9" s="33" t="n">
        <v>3</v>
      </c>
      <c r="E9" s="33" t="n">
        <v>5</v>
      </c>
      <c r="F9" s="33" t="n">
        <v>10</v>
      </c>
      <c r="G9" s="33" t="n">
        <v>15</v>
      </c>
      <c r="H9" s="33" t="n">
        <v>20</v>
      </c>
    </row>
    <row r="10" ht="15" customHeight="1" s="25">
      <c r="B10" s="24" t="inlineStr">
        <is>
          <t>Growth</t>
        </is>
      </c>
      <c r="C10" s="24" t="inlineStr">
        <is>
          <t>Buy</t>
        </is>
      </c>
      <c r="D10" s="33" t="n">
        <v>1</v>
      </c>
      <c r="E10" s="33" t="n">
        <v>3</v>
      </c>
      <c r="F10" s="33" t="n">
        <v>5</v>
      </c>
      <c r="G10" s="33" t="n">
        <v>10</v>
      </c>
      <c r="H10" s="33" t="n">
        <v>15</v>
      </c>
    </row>
    <row r="11" ht="15" customHeight="1" s="25">
      <c r="B11" s="24" t="inlineStr">
        <is>
          <t>Growth</t>
        </is>
      </c>
      <c r="C11" s="24" t="inlineStr">
        <is>
          <t>Rent</t>
        </is>
      </c>
      <c r="D11" s="33" t="n">
        <v>1</v>
      </c>
      <c r="E11" s="33" t="n">
        <v>3</v>
      </c>
      <c r="F11" s="33" t="n">
        <v>5</v>
      </c>
      <c r="G11" s="33" t="n">
        <v>10</v>
      </c>
      <c r="H11" s="33" t="n">
        <v>15</v>
      </c>
    </row>
    <row r="12" ht="15" customHeight="1" s="25">
      <c r="B12" s="24" t="inlineStr">
        <is>
          <t>Scale</t>
        </is>
      </c>
      <c r="C12" s="24" t="inlineStr">
        <is>
          <t>Buy</t>
        </is>
      </c>
      <c r="D12" s="33" t="n">
        <v>0</v>
      </c>
      <c r="E12" s="33" t="n">
        <v>1</v>
      </c>
      <c r="F12" s="33" t="n">
        <v>2</v>
      </c>
      <c r="G12" s="33" t="n">
        <v>5</v>
      </c>
      <c r="H12" s="33" t="n">
        <v>10</v>
      </c>
    </row>
    <row r="13" ht="15" customHeight="1" s="25">
      <c r="B13" s="24" t="inlineStr">
        <is>
          <t>Scale</t>
        </is>
      </c>
      <c r="C13" s="24" t="inlineStr">
        <is>
          <t>Rent</t>
        </is>
      </c>
      <c r="D13" s="33" t="n">
        <v>1</v>
      </c>
      <c r="E13" s="33" t="n">
        <v>2</v>
      </c>
      <c r="F13" s="33" t="n">
        <v>4</v>
      </c>
      <c r="G13" s="33" t="n">
        <v>5</v>
      </c>
      <c r="H13" s="33" t="n">
        <v>10</v>
      </c>
    </row>
    <row r="14" ht="15" customHeight="1" s="25">
      <c r="B14" s="24" t="inlineStr">
        <is>
          <t>Enterprise</t>
        </is>
      </c>
      <c r="C14" s="24" t="inlineStr">
        <is>
          <t>Buy</t>
        </is>
      </c>
      <c r="D14" s="33" t="n">
        <v>0</v>
      </c>
      <c r="E14" s="33" t="n">
        <v>0</v>
      </c>
      <c r="F14" s="33" t="n">
        <v>2</v>
      </c>
      <c r="G14" s="33" t="n">
        <v>3</v>
      </c>
      <c r="H14" s="33" t="n">
        <v>5</v>
      </c>
    </row>
    <row r="15" ht="15" customHeight="1" s="25">
      <c r="B15" s="24" t="inlineStr">
        <is>
          <t>Enterprise</t>
        </is>
      </c>
      <c r="C15" s="24" t="inlineStr">
        <is>
          <t>Rent</t>
        </is>
      </c>
      <c r="D15" s="33" t="n">
        <v>0</v>
      </c>
      <c r="E15" s="33" t="n">
        <v>1</v>
      </c>
      <c r="F15" s="33" t="n">
        <v>2</v>
      </c>
      <c r="G15" s="33" t="n">
        <v>3</v>
      </c>
      <c r="H15" s="33" t="n">
        <v>5</v>
      </c>
    </row>
    <row r="17" ht="15" customHeight="1" s="25">
      <c r="B17" s="39" t="inlineStr">
        <is>
          <t>TOTAL NEW CLIENTS</t>
        </is>
      </c>
      <c r="D17" s="39" t="n">
        <v>9</v>
      </c>
      <c r="E17" s="39" t="n">
        <v>20</v>
      </c>
      <c r="F17" s="39" t="n">
        <v>40</v>
      </c>
      <c r="G17" s="39" t="n">
        <v>66</v>
      </c>
      <c r="H17" s="39" t="n">
        <v>100</v>
      </c>
    </row>
    <row r="18" ht="15" customHeight="1" s="25">
      <c r="B18" s="31" t="inlineStr">
        <is>
          <t>CUMULATIVE CLIENTS</t>
        </is>
      </c>
      <c r="D18" s="31" t="n">
        <v>11</v>
      </c>
      <c r="E18" s="31" t="n">
        <v>31</v>
      </c>
      <c r="F18" s="31" t="n">
        <v>71</v>
      </c>
      <c r="G18" s="31" t="n">
        <v>137</v>
      </c>
      <c r="H18" s="31" t="n">
        <v>237</v>
      </c>
    </row>
    <row r="19" ht="15" customHeight="1" s="25">
      <c r="B19" s="24" t="inlineStr">
        <is>
          <t>Rental % Mix</t>
        </is>
      </c>
      <c r="D19" s="43" t="n">
        <v>0.5600000000000001</v>
      </c>
      <c r="E19" s="43" t="n">
        <v>0.55</v>
      </c>
      <c r="F19" s="43" t="n">
        <v>0.53</v>
      </c>
      <c r="G19" s="43" t="n">
        <v>0.5</v>
      </c>
      <c r="H19" s="43" t="n">
        <v>0.5</v>
      </c>
    </row>
    <row r="22" ht="15" customHeight="1" s="25">
      <c r="B22" s="29" t="inlineStr">
        <is>
          <t>REVENUE BY TIER (K€)</t>
        </is>
      </c>
    </row>
    <row r="24" ht="15" customHeight="1" s="25">
      <c r="B24" s="31" t="inlineStr">
        <is>
          <t>Setup Revenue</t>
        </is>
      </c>
      <c r="D24" s="30" t="n">
        <v>2026</v>
      </c>
      <c r="E24" s="30" t="n">
        <v>2027</v>
      </c>
      <c r="F24" s="30" t="n">
        <v>2028</v>
      </c>
      <c r="G24" s="30" t="n">
        <v>2029</v>
      </c>
      <c r="H24" s="30" t="n">
        <v>2030</v>
      </c>
    </row>
    <row r="25" ht="15" customHeight="1" s="25">
      <c r="B25" s="24" t="inlineStr">
        <is>
          <t>Starter</t>
        </is>
      </c>
      <c r="D25" s="36" t="n">
        <v>480</v>
      </c>
      <c r="E25" s="36" t="n">
        <v>800</v>
      </c>
      <c r="F25" s="36" t="n">
        <v>1600</v>
      </c>
      <c r="G25" s="36" t="n">
        <v>2400</v>
      </c>
      <c r="H25" s="36" t="n">
        <v>3200</v>
      </c>
    </row>
    <row r="26" ht="15" customHeight="1" s="25">
      <c r="B26" s="24" t="inlineStr">
        <is>
          <t>Growth</t>
        </is>
      </c>
      <c r="D26" s="36" t="n">
        <v>300</v>
      </c>
      <c r="E26" s="36" t="n">
        <v>900</v>
      </c>
      <c r="F26" s="36" t="n">
        <v>1500</v>
      </c>
      <c r="G26" s="36" t="n">
        <v>3000</v>
      </c>
      <c r="H26" s="36" t="n">
        <v>4500</v>
      </c>
    </row>
    <row r="27" ht="15" customHeight="1" s="25">
      <c r="B27" s="24" t="inlineStr">
        <is>
          <t>Scale</t>
        </is>
      </c>
      <c r="D27" s="36" t="n">
        <v>200</v>
      </c>
      <c r="E27" s="36" t="n">
        <v>600</v>
      </c>
      <c r="F27" s="36" t="n">
        <v>1200</v>
      </c>
      <c r="G27" s="36" t="n">
        <v>2000</v>
      </c>
      <c r="H27" s="36" t="n">
        <v>4000</v>
      </c>
    </row>
    <row r="28" ht="15" customHeight="1" s="25">
      <c r="B28" s="24" t="inlineStr">
        <is>
          <t>Enterprise</t>
        </is>
      </c>
      <c r="D28" s="36" t="n">
        <v>0</v>
      </c>
      <c r="E28" s="36" t="n">
        <v>300</v>
      </c>
      <c r="F28" s="36" t="n">
        <v>1200</v>
      </c>
      <c r="G28" s="36" t="n">
        <v>1800</v>
      </c>
      <c r="H28" s="36" t="n">
        <v>3000</v>
      </c>
    </row>
    <row r="29" ht="15" customHeight="1" s="25">
      <c r="B29" s="39" t="inlineStr">
        <is>
          <t>TOTAL SETUP</t>
        </is>
      </c>
      <c r="D29" s="40" t="n">
        <v>980</v>
      </c>
      <c r="E29" s="40" t="n">
        <v>2600</v>
      </c>
      <c r="F29" s="40" t="n">
        <v>5500</v>
      </c>
      <c r="G29" s="40" t="n">
        <v>9200</v>
      </c>
      <c r="H29" s="40" t="n">
        <v>14700</v>
      </c>
    </row>
    <row r="31" ht="15" customHeight="1" s="25">
      <c r="B31" s="31" t="inlineStr">
        <is>
          <t>Hosting Revenue</t>
        </is>
      </c>
    </row>
    <row r="32" ht="15" customHeight="1" s="25">
      <c r="B32" s="24" t="inlineStr">
        <is>
          <t>Starter</t>
        </is>
      </c>
      <c r="D32" s="36" t="n">
        <v>288</v>
      </c>
      <c r="E32" s="36" t="n">
        <v>648</v>
      </c>
      <c r="F32" s="36" t="n">
        <v>1368</v>
      </c>
      <c r="G32" s="36" t="n">
        <v>2448</v>
      </c>
      <c r="H32" s="36" t="n">
        <v>3888</v>
      </c>
    </row>
    <row r="33" ht="15" customHeight="1" s="25">
      <c r="B33" s="24" t="inlineStr">
        <is>
          <t>Growth</t>
        </is>
      </c>
      <c r="D33" s="36" t="n">
        <v>120</v>
      </c>
      <c r="E33" s="36" t="n">
        <v>480</v>
      </c>
      <c r="F33" s="36" t="n">
        <v>1080</v>
      </c>
      <c r="G33" s="36" t="n">
        <v>2280</v>
      </c>
      <c r="H33" s="36" t="n">
        <v>4080</v>
      </c>
    </row>
    <row r="34" ht="15" customHeight="1" s="25">
      <c r="B34" s="24" t="inlineStr">
        <is>
          <t>Scale</t>
        </is>
      </c>
      <c r="D34" s="36" t="n">
        <v>84</v>
      </c>
      <c r="E34" s="36" t="n">
        <v>336</v>
      </c>
      <c r="F34" s="36" t="n">
        <v>840</v>
      </c>
      <c r="G34" s="36" t="n">
        <v>1680</v>
      </c>
      <c r="H34" s="36" t="n">
        <v>3360</v>
      </c>
    </row>
    <row r="35" ht="15" customHeight="1" s="25">
      <c r="B35" s="24" t="inlineStr">
        <is>
          <t>Enterprise</t>
        </is>
      </c>
      <c r="D35" s="36" t="n">
        <v>0</v>
      </c>
      <c r="E35" s="36" t="n">
        <v>120</v>
      </c>
      <c r="F35" s="36" t="n">
        <v>600</v>
      </c>
      <c r="G35" s="36" t="n">
        <v>1320</v>
      </c>
      <c r="H35" s="36" t="n">
        <v>2520</v>
      </c>
    </row>
    <row r="36" ht="15" customHeight="1" s="25">
      <c r="B36" s="39" t="inlineStr">
        <is>
          <t>TOTAL HOSTING</t>
        </is>
      </c>
      <c r="D36" s="40" t="n">
        <v>492</v>
      </c>
      <c r="E36" s="40" t="n">
        <v>1584</v>
      </c>
      <c r="F36" s="40" t="n">
        <v>3888</v>
      </c>
      <c r="G36" s="40" t="n">
        <v>7728</v>
      </c>
      <c r="H36" s="40" t="n">
        <v>13848</v>
      </c>
    </row>
    <row r="38" ht="15" customHeight="1" s="25">
      <c r="B38" s="39" t="inlineStr">
        <is>
          <t>Rental Revenue</t>
        </is>
      </c>
      <c r="D38" s="40" t="n">
        <v>68</v>
      </c>
      <c r="E38" s="40" t="n">
        <v>247</v>
      </c>
      <c r="F38" s="40" t="n">
        <v>683</v>
      </c>
      <c r="G38" s="40" t="n">
        <v>1659</v>
      </c>
      <c r="H38" s="40" t="n">
        <v>4828</v>
      </c>
    </row>
    <row r="40" ht="15" customHeight="1" s="25">
      <c r="B40" s="44" t="inlineStr">
        <is>
          <t>TOTAL REVENUE</t>
        </is>
      </c>
      <c r="D40" s="45" t="n">
        <v>1540</v>
      </c>
      <c r="E40" s="45" t="n">
        <v>4431</v>
      </c>
      <c r="F40" s="45" t="n">
        <v>10071</v>
      </c>
      <c r="G40" s="45" t="n">
        <v>18587</v>
      </c>
      <c r="H40" s="45" t="n">
        <v>33376</v>
      </c>
    </row>
    <row r="41" ht="15" customHeight="1" s="25">
      <c r="B41" s="24" t="inlineStr">
        <is>
          <t>Recurring %</t>
        </is>
      </c>
      <c r="D41" s="43" t="n">
        <v>0.36</v>
      </c>
      <c r="E41" s="43" t="n">
        <v>0.41</v>
      </c>
      <c r="F41" s="43" t="n">
        <v>0.45</v>
      </c>
      <c r="G41" s="43" t="n">
        <v>0.51</v>
      </c>
      <c r="H41" s="43" t="n">
        <v>0.5600000000000001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I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4" min="2" max="2"/>
    <col width="12" customWidth="1" style="24" min="4" max="9"/>
  </cols>
  <sheetData>
    <row r="2" ht="17.35" customHeight="1" s="25">
      <c r="B2" s="27" t="inlineStr">
        <is>
          <t>COSTS - By Growth Driver</t>
        </is>
      </c>
    </row>
    <row r="5" ht="15" customHeight="1" s="25">
      <c r="B5" s="29" t="inlineStr">
        <is>
          <t>COST BREAKDOWN BY GROWTH DRIVER (K€)</t>
        </is>
      </c>
    </row>
    <row r="7" ht="15" customHeight="1" s="25">
      <c r="B7" s="30" t="inlineStr">
        <is>
          <t>Growth Driver</t>
        </is>
      </c>
      <c r="D7" s="30" t="n">
        <v>2026</v>
      </c>
      <c r="E7" s="30" t="n">
        <v>2027</v>
      </c>
      <c r="F7" s="30" t="n">
        <v>2028</v>
      </c>
      <c r="G7" s="30" t="n">
        <v>2029</v>
      </c>
      <c r="H7" s="30" t="n">
        <v>2030</v>
      </c>
      <c r="I7" s="30" t="inlineStr">
        <is>
          <t>Total</t>
        </is>
      </c>
    </row>
    <row r="8" ht="15" customHeight="1" s="25">
      <c r="B8" s="24" t="inlineStr">
        <is>
          <t>GD1 - Enterprise-grade Platform</t>
        </is>
      </c>
      <c r="D8" s="36" t="n">
        <v>530</v>
      </c>
      <c r="E8" s="36" t="n">
        <v>750</v>
      </c>
      <c r="F8" s="36" t="n">
        <v>630</v>
      </c>
      <c r="G8" s="36" t="n">
        <v>660</v>
      </c>
      <c r="H8" s="36" t="n">
        <v>660</v>
      </c>
      <c r="I8" s="36" t="n">
        <v>3230</v>
      </c>
    </row>
    <row r="9" ht="15" customHeight="1" s="25">
      <c r="B9" s="24" t="inlineStr">
        <is>
          <t>GD2 - Swarm R&amp;D Algorithm</t>
        </is>
      </c>
      <c r="D9" s="36" t="n">
        <v>100</v>
      </c>
      <c r="E9" s="36" t="n">
        <v>100</v>
      </c>
      <c r="F9" s="36" t="n">
        <v>100</v>
      </c>
      <c r="G9" s="36" t="n">
        <v>200</v>
      </c>
      <c r="H9" s="36" t="n">
        <v>200</v>
      </c>
      <c r="I9" s="36" t="n">
        <v>700</v>
      </c>
    </row>
    <row r="10" ht="15" customHeight="1" s="25">
      <c r="B10" s="24" t="inlineStr">
        <is>
          <t>GD3 - Delivery at Scale</t>
        </is>
      </c>
      <c r="D10" s="36" t="n">
        <v>390</v>
      </c>
      <c r="E10" s="36" t="n">
        <v>810</v>
      </c>
      <c r="F10" s="36" t="n">
        <v>1230</v>
      </c>
      <c r="G10" s="36" t="n">
        <v>1740</v>
      </c>
      <c r="H10" s="36" t="n">
        <v>2180</v>
      </c>
      <c r="I10" s="36" t="n">
        <v>6350</v>
      </c>
    </row>
    <row r="11" ht="15" customHeight="1" s="25">
      <c r="B11" s="24" t="inlineStr">
        <is>
          <t>GD4 - Partner &amp; Sales Distribution</t>
        </is>
      </c>
      <c r="D11" s="36" t="n">
        <v>380</v>
      </c>
      <c r="E11" s="36" t="n">
        <v>530</v>
      </c>
      <c r="F11" s="36" t="n">
        <v>810</v>
      </c>
      <c r="G11" s="36" t="n">
        <v>1090</v>
      </c>
      <c r="H11" s="36" t="n">
        <v>1090</v>
      </c>
      <c r="I11" s="36" t="n">
        <v>3900</v>
      </c>
    </row>
    <row r="12" ht="15" customHeight="1" s="25">
      <c r="B12" s="24" t="inlineStr">
        <is>
          <t>GD5 - Token Economy Governance</t>
        </is>
      </c>
      <c r="D12" s="36" t="n">
        <v>50</v>
      </c>
      <c r="E12" s="36" t="n">
        <v>200</v>
      </c>
      <c r="F12" s="36" t="n">
        <v>200</v>
      </c>
      <c r="G12" s="36" t="n">
        <v>200</v>
      </c>
      <c r="H12" s="36" t="n">
        <v>200</v>
      </c>
      <c r="I12" s="36" t="n">
        <v>850</v>
      </c>
    </row>
    <row r="13" ht="15" customHeight="1" s="25">
      <c r="B13" s="24" t="inlineStr">
        <is>
          <t>Operating Costs &amp; Overheads</t>
        </is>
      </c>
      <c r="D13" s="36" t="n">
        <v>700</v>
      </c>
      <c r="E13" s="36" t="n">
        <v>700</v>
      </c>
      <c r="F13" s="36" t="n">
        <v>800</v>
      </c>
      <c r="G13" s="36" t="n">
        <v>800</v>
      </c>
      <c r="H13" s="36" t="n">
        <v>800</v>
      </c>
      <c r="I13" s="36" t="n">
        <v>3800</v>
      </c>
    </row>
    <row r="14" ht="15" customHeight="1" s="25">
      <c r="B14" s="39" t="inlineStr">
        <is>
          <t>TOTAL</t>
        </is>
      </c>
      <c r="D14" s="40" t="n">
        <v>2130</v>
      </c>
      <c r="E14" s="40" t="n">
        <v>3120</v>
      </c>
      <c r="F14" s="40" t="n">
        <v>3750</v>
      </c>
      <c r="G14" s="40" t="n">
        <v>4720</v>
      </c>
      <c r="H14" s="40" t="n">
        <v>5160</v>
      </c>
      <c r="I14" s="40" t="n">
        <v>18880</v>
      </c>
    </row>
    <row r="17" ht="15" customHeight="1" s="25">
      <c r="B17" s="29" t="inlineStr">
        <is>
          <t>COST BREAKDOWN % (5-year cumulative)</t>
        </is>
      </c>
    </row>
    <row r="19" ht="15" customHeight="1" s="25">
      <c r="B19" s="24" t="inlineStr">
        <is>
          <t>GD1 - Enterprise Platform</t>
        </is>
      </c>
      <c r="D19" s="24" t="inlineStr">
        <is>
          <t>17%</t>
        </is>
      </c>
    </row>
    <row r="20" ht="15" customHeight="1" s="25">
      <c r="B20" s="24" t="inlineStr">
        <is>
          <t>GD2 - Swarm R&amp;D Algorithm</t>
        </is>
      </c>
      <c r="D20" s="24" t="inlineStr">
        <is>
          <t>4%</t>
        </is>
      </c>
    </row>
    <row r="21" ht="15" customHeight="1" s="25">
      <c r="B21" s="24" t="inlineStr">
        <is>
          <t>GD3 - Delivery at Scale</t>
        </is>
      </c>
      <c r="D21" s="24" t="inlineStr">
        <is>
          <t>34%</t>
        </is>
      </c>
    </row>
    <row r="22" ht="15" customHeight="1" s="25">
      <c r="B22" s="24" t="inlineStr">
        <is>
          <t>GD4 - Sales &amp; Partners</t>
        </is>
      </c>
      <c r="D22" s="24" t="inlineStr">
        <is>
          <t>21%</t>
        </is>
      </c>
    </row>
    <row r="23" ht="15" customHeight="1" s="25">
      <c r="B23" s="24" t="inlineStr">
        <is>
          <t>GD5 - Token Economy</t>
        </is>
      </c>
      <c r="D23" s="24" t="inlineStr">
        <is>
          <t>5%</t>
        </is>
      </c>
    </row>
    <row r="24" ht="15" customHeight="1" s="25">
      <c r="B24" s="24" t="inlineStr">
        <is>
          <t>Operating &amp; Overheads</t>
        </is>
      </c>
      <c r="D24" s="24" t="n">
        <v>700</v>
      </c>
      <c r="E24" s="24" t="n">
        <v>700</v>
      </c>
      <c r="F24" s="24" t="n">
        <v>800</v>
      </c>
      <c r="G24" s="24" t="n">
        <v>800</v>
      </c>
      <c r="H24" s="24" t="n">
        <v>800</v>
      </c>
      <c r="I24" s="24" t="n">
        <v>3800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G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4" min="2" max="2"/>
    <col width="15" customWidth="1" style="24" min="3" max="7"/>
  </cols>
  <sheetData>
    <row r="2" ht="19.7" customHeight="1" s="25">
      <c r="B2" s="46" t="inlineStr">
        <is>
          <t>TOKEN ECONOMICS - T6022 Utility Token</t>
        </is>
      </c>
    </row>
    <row r="5" ht="15" customHeight="1" s="25">
      <c r="B5" s="29" t="inlineStr">
        <is>
          <t>TOKEN OVERVIEW</t>
        </is>
      </c>
    </row>
    <row r="7" ht="15" customHeight="1" s="25">
      <c r="B7" s="31" t="inlineStr">
        <is>
          <t>Token Name</t>
        </is>
      </c>
      <c r="D7" s="24" t="inlineStr">
        <is>
          <t>T6022</t>
        </is>
      </c>
    </row>
    <row r="8" ht="15" customHeight="1" s="25">
      <c r="B8" s="31" t="inlineStr">
        <is>
          <t>Total Supply</t>
        </is>
      </c>
      <c r="D8" s="24" t="inlineStr">
        <is>
          <t>1,000,000,000 (fixed)</t>
        </is>
      </c>
    </row>
    <row r="9" ht="15" customHeight="1" s="25">
      <c r="B9" s="31" t="inlineStr">
        <is>
          <t>Initial Price (2026)</t>
        </is>
      </c>
      <c r="D9" s="24" t="inlineStr">
        <is>
          <t>€0.005</t>
        </is>
      </c>
    </row>
    <row r="10" ht="15" customHeight="1" s="25">
      <c r="B10" s="31" t="inlineStr">
        <is>
          <t>Swiss 6022 Holdings</t>
        </is>
      </c>
      <c r="D10" s="24" t="inlineStr">
        <is>
          <t>~40% of total supply</t>
        </is>
      </c>
    </row>
    <row r="11" ht="15" customHeight="1" s="25">
      <c r="B11" s="31" t="inlineStr">
        <is>
          <t>Mechanism</t>
        </is>
      </c>
      <c r="D11" s="24" t="inlineStr">
        <is>
          <t>Liquidity Pool (AMM on Uniswap)</t>
        </is>
      </c>
    </row>
    <row r="12" ht="15" customHeight="1" s="25">
      <c r="B12" s="31" t="inlineStr">
        <is>
          <t>Purpose</t>
        </is>
      </c>
      <c r="D12" s="24" t="inlineStr">
        <is>
          <t>Utility - Access to 6022 Orchestrator</t>
        </is>
      </c>
    </row>
    <row r="15" ht="15" customHeight="1" s="25">
      <c r="B15" s="29" t="inlineStr">
        <is>
          <t>TOKEN PRICE &amp; MARKET CAP PROJECTION</t>
        </is>
      </c>
    </row>
    <row r="17" ht="15" customHeight="1" s="25">
      <c r="B17" s="30" t="inlineStr">
        <is>
          <t>Year</t>
        </is>
      </c>
      <c r="C17" s="30" t="inlineStr">
        <is>
          <t>Token Price (€)</t>
        </is>
      </c>
      <c r="D17" s="30" t="inlineStr">
        <is>
          <t>YoY Growth</t>
        </is>
      </c>
      <c r="E17" s="30" t="inlineStr">
        <is>
          <t>Market Cap (M€)</t>
        </is>
      </c>
      <c r="F17" s="30" t="inlineStr">
        <is>
          <t>Swiss 6022 Assets (M€)</t>
        </is>
      </c>
    </row>
    <row r="18" ht="15" customHeight="1" s="25">
      <c r="B18" s="24" t="n">
        <v>2026</v>
      </c>
      <c r="C18" s="47" t="n">
        <v>0.005</v>
      </c>
      <c r="D18" s="24" t="inlineStr">
        <is>
          <t>-</t>
        </is>
      </c>
      <c r="E18" s="24" t="n">
        <v>5</v>
      </c>
      <c r="F18" s="24" t="n">
        <v>2</v>
      </c>
    </row>
    <row r="19" ht="15" customHeight="1" s="25">
      <c r="B19" s="24" t="n">
        <v>2027</v>
      </c>
      <c r="C19" s="47" t="n">
        <v>0.01</v>
      </c>
      <c r="D19" s="24" t="inlineStr">
        <is>
          <t>108%</t>
        </is>
      </c>
      <c r="E19" s="24" t="n">
        <v>10</v>
      </c>
      <c r="F19" s="24" t="n">
        <v>4</v>
      </c>
    </row>
    <row r="20" ht="15" customHeight="1" s="25">
      <c r="B20" s="24" t="n">
        <v>2028</v>
      </c>
      <c r="C20" s="47" t="n">
        <v>0.025</v>
      </c>
      <c r="D20" s="24" t="inlineStr">
        <is>
          <t>141%</t>
        </is>
      </c>
      <c r="E20" s="24" t="n">
        <v>25</v>
      </c>
      <c r="F20" s="24" t="n">
        <v>10</v>
      </c>
    </row>
    <row r="21" ht="15" customHeight="1" s="25">
      <c r="B21" s="24" t="n">
        <v>2029</v>
      </c>
      <c r="C21" s="47" t="n">
        <v>0.067</v>
      </c>
      <c r="D21" s="24" t="inlineStr">
        <is>
          <t>169%</t>
        </is>
      </c>
      <c r="E21" s="24" t="n">
        <v>67</v>
      </c>
      <c r="F21" s="24" t="n">
        <v>27</v>
      </c>
    </row>
    <row r="22" ht="15" customHeight="1" s="25">
      <c r="B22" s="24" t="n">
        <v>2030</v>
      </c>
      <c r="C22" s="47" t="n">
        <v>0.221</v>
      </c>
      <c r="D22" s="24" t="inlineStr">
        <is>
          <t>228%</t>
        </is>
      </c>
      <c r="E22" s="24" t="n">
        <v>221</v>
      </c>
      <c r="F22" s="24" t="n">
        <v>88</v>
      </c>
    </row>
    <row r="25" ht="15" customHeight="1" s="25">
      <c r="B25" s="29" t="inlineStr">
        <is>
          <t>STAKE-TO-ACCESS THRESHOLDS</t>
        </is>
      </c>
    </row>
    <row r="27" ht="15" customHeight="1" s="25">
      <c r="B27" s="30" t="inlineStr">
        <is>
          <t>Tier</t>
        </is>
      </c>
      <c r="C27" s="30" t="inlineStr">
        <is>
          <t>Agents</t>
        </is>
      </c>
      <c r="D27" s="30" t="inlineStr">
        <is>
          <t>Tokens 2026</t>
        </is>
      </c>
      <c r="E27" s="30" t="inlineStr">
        <is>
          <t>Tokens 2030</t>
        </is>
      </c>
      <c r="F27" s="30" t="inlineStr">
        <is>
          <t>€ Value 2026</t>
        </is>
      </c>
      <c r="G27" s="30" t="inlineStr">
        <is>
          <t>€ Value 2030</t>
        </is>
      </c>
    </row>
    <row r="28" ht="15" customHeight="1" s="25">
      <c r="B28" s="24" t="inlineStr">
        <is>
          <t>Starter</t>
        </is>
      </c>
      <c r="C28" s="24" t="inlineStr">
        <is>
          <t>≤20</t>
        </is>
      </c>
      <c r="D28" s="36" t="n">
        <v>1000000</v>
      </c>
      <c r="E28" s="36" t="n">
        <v>62500</v>
      </c>
      <c r="F28" s="37" t="n">
        <v>5000</v>
      </c>
      <c r="G28" s="37" t="n">
        <v>13843</v>
      </c>
    </row>
    <row r="29" ht="15" customHeight="1" s="25">
      <c r="B29" s="24" t="inlineStr">
        <is>
          <t>Growth</t>
        </is>
      </c>
      <c r="C29" s="24" t="inlineStr">
        <is>
          <t>≤100</t>
        </is>
      </c>
      <c r="D29" s="36" t="n">
        <v>3000000</v>
      </c>
      <c r="E29" s="36" t="n">
        <v>187500</v>
      </c>
      <c r="F29" s="37" t="n">
        <v>15000</v>
      </c>
      <c r="G29" s="37" t="n">
        <v>41528</v>
      </c>
    </row>
    <row r="30" ht="15" customHeight="1" s="25">
      <c r="B30" s="24" t="inlineStr">
        <is>
          <t>Scale</t>
        </is>
      </c>
      <c r="C30" s="24" t="inlineStr">
        <is>
          <t>≤500</t>
        </is>
      </c>
      <c r="D30" s="36" t="n">
        <v>7500000</v>
      </c>
      <c r="E30" s="36" t="n">
        <v>468750</v>
      </c>
      <c r="F30" s="37" t="n">
        <v>37500</v>
      </c>
      <c r="G30" s="37" t="n">
        <v>103819</v>
      </c>
    </row>
    <row r="31" ht="15" customHeight="1" s="25">
      <c r="B31" s="24" t="inlineStr">
        <is>
          <t>Enterprise</t>
        </is>
      </c>
      <c r="C31" s="24" t="inlineStr">
        <is>
          <t>500+</t>
        </is>
      </c>
      <c r="D31" s="36" t="n">
        <v>9000000</v>
      </c>
      <c r="E31" s="36" t="n">
        <v>562500</v>
      </c>
      <c r="F31" s="37" t="n">
        <v>45000</v>
      </c>
      <c r="G31" s="37" t="n">
        <v>124583</v>
      </c>
    </row>
    <row r="34" ht="15" customHeight="1" s="25">
      <c r="B34" s="29" t="inlineStr">
        <is>
          <t>KEY MECHANISMS</t>
        </is>
      </c>
    </row>
    <row r="36" ht="15" customHeight="1" s="25">
      <c r="B36" s="24" t="inlineStr">
        <is>
          <t>• Fixed supply: Creates scarcity as adoption grows</t>
        </is>
      </c>
    </row>
    <row r="37" ht="15" customHeight="1" s="25">
      <c r="B37" s="24" t="inlineStr">
        <is>
          <t>• Threshold reduction: -50%/year to keep access affordable</t>
        </is>
      </c>
    </row>
    <row r="38" ht="15" customHeight="1" s="25">
      <c r="B38" s="24" t="inlineStr">
        <is>
          <t>• Rental option: 100% Y1, 70% Yn - incentivizes token purchase</t>
        </is>
      </c>
    </row>
    <row r="39" ht="15" customHeight="1" s="25">
      <c r="B39" s="24" t="inlineStr">
        <is>
          <t>• Burned liquidity pool: No manipulation possible</t>
        </is>
      </c>
    </row>
    <row r="40" ht="15" customHeight="1" s="25">
      <c r="B40" s="24" t="inlineStr">
        <is>
          <t>• Client alignment: Token holders become stakeholders</t>
        </is>
      </c>
    </row>
    <row r="50">
      <c r="B50" s="48" t="inlineStr">
        <is>
          <t>Note: Token Assets shown at beginning of period prices.</t>
        </is>
      </c>
    </row>
    <row r="51">
      <c r="B51" s="48" t="inlineStr">
        <is>
          <t>End of 2030 projection: €420M+ based on €1.05 token price.</t>
        </is>
      </c>
    </row>
    <row r="53">
      <c r="B53" s="96" t="inlineStr">
        <is>
          <t>NOTE: Token prices are taken at the BEGINNING of each period</t>
        </is>
      </c>
    </row>
    <row r="54">
      <c r="B54" s="97" t="inlineStr">
        <is>
          <t>This is a conservative assumption (vs. end-of-period or average)</t>
        </is>
      </c>
    </row>
    <row r="55">
      <c r="B55" s="97" t="inlineStr">
        <is>
          <t>Impact: Rental revenues are calculated on lower token values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55" customWidth="1" style="25" min="2" max="2"/>
    <col width="10" customWidth="1" style="25" min="4" max="4"/>
    <col width="10" customWidth="1" style="25" min="5" max="5"/>
    <col width="10" customWidth="1" style="25" min="6" max="6"/>
    <col width="10" customWidth="1" style="25" min="7" max="7"/>
    <col width="10" customWidth="1" style="25" min="8" max="8"/>
  </cols>
  <sheetData>
    <row r="2">
      <c r="B2" s="72" t="inlineStr">
        <is>
          <t>DETAILED P&amp;L vs FUNDING NEEDS V5 RECONCILIATION</t>
        </is>
      </c>
    </row>
    <row r="4">
      <c r="B4" s="70" t="inlineStr">
        <is>
          <t>The Funding Needs V5 document presents a simplified P&amp;L avec des rounded.</t>
        </is>
      </c>
    </row>
    <row r="5">
      <c r="B5" s="70" t="inlineStr">
        <is>
          <t>This sheet reconciles the detailed P&amp;L with the source document figures.</t>
        </is>
      </c>
    </row>
    <row r="8">
      <c r="B8" s="50" t="inlineStr">
        <is>
          <t>REVENUES (M€)</t>
        </is>
      </c>
      <c r="D8" s="51" t="n">
        <v>2026</v>
      </c>
      <c r="E8" s="51" t="n">
        <v>2027</v>
      </c>
      <c r="F8" s="51" t="n">
        <v>2028</v>
      </c>
      <c r="G8" s="51" t="n">
        <v>2029</v>
      </c>
      <c r="H8" s="51" t="n">
        <v>2030</v>
      </c>
    </row>
    <row r="9">
      <c r="B9" s="24" t="inlineStr">
        <is>
          <t>Simulator V4 (precise)</t>
        </is>
      </c>
      <c r="D9" s="71" t="n">
        <v>1.54</v>
      </c>
      <c r="E9" s="71" t="n">
        <v>4.43</v>
      </c>
      <c r="F9" s="71" t="n">
        <v>10.07</v>
      </c>
      <c r="G9" s="71" t="n">
        <v>18.59</v>
      </c>
      <c r="H9" s="71" t="n">
        <v>33.38</v>
      </c>
    </row>
    <row r="10">
      <c r="B10" s="24" t="inlineStr">
        <is>
          <t>Funding Needs V5 (arrondi)</t>
        </is>
      </c>
      <c r="D10" s="71" t="n">
        <v>1</v>
      </c>
      <c r="E10" s="71" t="n">
        <v>4.4</v>
      </c>
      <c r="F10" s="71" t="n">
        <v>10</v>
      </c>
      <c r="G10" s="71" t="n">
        <v>18</v>
      </c>
      <c r="H10" s="71" t="n">
        <v>33</v>
      </c>
    </row>
    <row r="11">
      <c r="B11" s="73" t="inlineStr">
        <is>
          <t>Variance</t>
        </is>
      </c>
      <c r="D11" s="74" t="n">
        <v>0.54</v>
      </c>
      <c r="E11" s="74" t="n">
        <v>0.03</v>
      </c>
      <c r="F11" s="74" t="n">
        <v>0.07000000000000001</v>
      </c>
      <c r="G11" s="74" t="n">
        <v>0.59</v>
      </c>
      <c r="H11" s="74" t="n">
        <v>0.38</v>
      </c>
    </row>
    <row r="12">
      <c r="B12" s="24" t="inlineStr"/>
    </row>
    <row r="13">
      <c r="B13" s="50" t="inlineStr">
        <is>
          <t>COSTS (M€)</t>
        </is>
      </c>
    </row>
    <row r="14">
      <c r="B14" s="24" t="inlineStr">
        <is>
          <t>Detailed BP</t>
        </is>
      </c>
      <c r="D14" s="71" t="n">
        <v>2.15</v>
      </c>
      <c r="E14" s="71" t="n">
        <v>3.09</v>
      </c>
      <c r="F14" s="71" t="n">
        <v>3.77</v>
      </c>
      <c r="G14" s="71" t="n">
        <v>4.69</v>
      </c>
      <c r="H14" s="71" t="n">
        <v>5.13</v>
      </c>
    </row>
    <row r="15">
      <c r="B15" s="24" t="inlineStr">
        <is>
          <t>Funding Needs V5</t>
        </is>
      </c>
      <c r="D15" s="71" t="n">
        <v>2.1</v>
      </c>
      <c r="E15" s="71" t="n">
        <v>3.1</v>
      </c>
      <c r="F15" s="71" t="n">
        <v>3.7</v>
      </c>
      <c r="G15" s="71" t="n">
        <v>4.7</v>
      </c>
      <c r="H15" s="71" t="n">
        <v>5.1</v>
      </c>
    </row>
    <row r="16">
      <c r="B16" s="73" t="inlineStr">
        <is>
          <t>Variance</t>
        </is>
      </c>
      <c r="D16" s="74" t="n">
        <v>0.05</v>
      </c>
      <c r="E16" s="74" t="n">
        <v>-0.01</v>
      </c>
      <c r="F16" s="74" t="n">
        <v>0.07000000000000001</v>
      </c>
      <c r="G16" s="74" t="n">
        <v>-0.01</v>
      </c>
      <c r="H16" s="74" t="n">
        <v>0.03</v>
      </c>
    </row>
    <row r="17">
      <c r="B17" s="24" t="inlineStr"/>
    </row>
    <row r="18">
      <c r="B18" s="50" t="inlineStr">
        <is>
          <t>NET RESULT (M€)</t>
        </is>
      </c>
    </row>
    <row r="19">
      <c r="B19" s="24" t="inlineStr">
        <is>
          <t>BP: Rev - Costs (precise)</t>
        </is>
      </c>
      <c r="D19" s="71" t="n">
        <v>-0.61</v>
      </c>
      <c r="E19" s="71" t="n">
        <v>1.34</v>
      </c>
      <c r="F19" s="71" t="n">
        <v>6.3</v>
      </c>
      <c r="G19" s="71" t="n">
        <v>13.9</v>
      </c>
      <c r="H19" s="71" t="n">
        <v>28.25</v>
      </c>
    </row>
    <row r="20">
      <c r="B20" s="24" t="inlineStr">
        <is>
          <t>Funding Needs V5</t>
        </is>
      </c>
      <c r="D20" s="71" t="n">
        <v>-1.1</v>
      </c>
      <c r="E20" s="71" t="n">
        <v>1.3</v>
      </c>
      <c r="F20" s="71" t="n">
        <v>6.3</v>
      </c>
      <c r="G20" s="71" t="n">
        <v>13.4</v>
      </c>
      <c r="H20" s="71" t="n">
        <v>27.9</v>
      </c>
    </row>
    <row r="21">
      <c r="B21" s="73" t="inlineStr">
        <is>
          <t>Variance</t>
        </is>
      </c>
      <c r="D21" s="74" t="n">
        <v>0.49</v>
      </c>
      <c r="E21" s="74" t="n">
        <v>0.04</v>
      </c>
      <c r="F21" s="74" t="n">
        <v>0</v>
      </c>
      <c r="G21" s="74" t="n">
        <v>0.5</v>
      </c>
      <c r="H21" s="74" t="n">
        <v>0.35</v>
      </c>
    </row>
    <row r="22">
      <c r="B22" s="24" t="inlineStr"/>
    </row>
    <row r="23">
      <c r="B23" s="50" t="inlineStr">
        <is>
          <t>VARIANCE EXPLANATION:</t>
        </is>
      </c>
    </row>
    <row r="24">
      <c r="B24" s="75" t="inlineStr">
        <is>
          <t>• 2026: Revenues rounded de 1.54M€ → 1M€ dyears Funding Needs</t>
        </is>
      </c>
    </row>
    <row r="25">
      <c r="B25" s="75" t="inlineStr">
        <is>
          <t>• 2029-30: Same rounding effect on revenues</t>
        </is>
      </c>
    </row>
    <row r="26">
      <c r="B26" s="75" t="inlineStr">
        <is>
          <t>• Detailed costs correspond to the 5 Growth Drivers</t>
        </is>
      </c>
    </row>
    <row r="27">
      <c r="B27" s="75" t="inlineStr">
        <is>
          <t>• Funding Needs V5 is intended for investors (simplified)</t>
        </is>
      </c>
    </row>
    <row r="30">
      <c r="B30" s="59" t="inlineStr">
        <is>
          <t>CONCLUSION:</t>
        </is>
      </c>
    </row>
    <row r="31">
      <c r="B31" s="76" t="inlineStr">
        <is>
          <t>✓ The detailed P&amp;L is CONSISTENT with the source documents</t>
        </is>
      </c>
    </row>
    <row r="32">
      <c r="B32" s="77" t="inlineStr">
        <is>
          <t>✓ Variances come only from presentation rounding</t>
        </is>
      </c>
    </row>
    <row r="33">
      <c r="B33" s="77" t="inlineStr">
        <is>
          <t>✓ Detailed P&amp;L offers more granularity for analysis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33"/>
  <sheetViews>
    <sheetView workbookViewId="0">
      <selection activeCell="A1" sqref="A1"/>
    </sheetView>
  </sheetViews>
  <sheetFormatPr baseColWidth="8" defaultRowHeight="15"/>
  <cols>
    <col width="45" customWidth="1" style="25" min="2" max="2"/>
    <col width="12" customWidth="1" style="25" min="4" max="4"/>
    <col width="12" customWidth="1" style="25" min="5" max="5"/>
    <col width="12" customWidth="1" style="25" min="6" max="6"/>
    <col width="12" customWidth="1" style="25" min="7" max="7"/>
    <col width="12" customWidth="1" style="25" min="8" max="8"/>
    <col width="12" customWidth="1" style="25" min="9" max="9"/>
  </cols>
  <sheetData>
    <row r="2">
      <c r="B2" s="72" t="inlineStr">
        <is>
          <t>CHURN ANALYSIS - ASSUMPTIONS INCLUDED IN MODEL</t>
        </is>
      </c>
    </row>
    <row r="4">
      <c r="B4" s="76" t="inlineStr">
        <is>
          <t>✓ Le churn de 10% est ALREADY INCLUDED dyears les projections du Simulator</t>
        </is>
      </c>
    </row>
    <row r="5">
      <c r="B5" s="70" t="inlineStr">
        <is>
          <t>The 237 clients at end 2030 is a NET figure after attrition</t>
        </is>
      </c>
    </row>
    <row r="8">
      <c r="B8" s="51" t="inlineStr">
        <is>
          <t>Dynamique clients (K€)</t>
        </is>
      </c>
      <c r="D8" s="52" t="n">
        <v>2026</v>
      </c>
      <c r="E8" s="52" t="n">
        <v>2027</v>
      </c>
      <c r="F8" s="52" t="n">
        <v>2028</v>
      </c>
      <c r="G8" s="52" t="n">
        <v>2029</v>
      </c>
      <c r="H8" s="52" t="n">
        <v>2030</v>
      </c>
      <c r="I8" s="51" t="inlineStr">
        <is>
          <t>Total</t>
        </is>
      </c>
    </row>
    <row r="9">
      <c r="B9" s="82" t="inlineStr">
        <is>
          <t>DYNAMIQUE CLIENTS</t>
        </is>
      </c>
      <c r="C9" s="83" t="n"/>
      <c r="D9" s="83" t="n"/>
      <c r="E9" s="83" t="n"/>
      <c r="F9" s="83" t="n"/>
      <c r="G9" s="83" t="n"/>
      <c r="H9" s="83" t="n"/>
      <c r="I9" s="83" t="n"/>
    </row>
    <row r="10">
      <c r="B10" s="24" t="inlineStr">
        <is>
          <t>Clients at Year Start</t>
        </is>
      </c>
      <c r="D10" s="54" t="n">
        <v>0</v>
      </c>
      <c r="E10" s="54" t="n">
        <v>11</v>
      </c>
      <c r="F10" s="54" t="n">
        <v>31</v>
      </c>
      <c r="G10" s="54" t="n">
        <v>71</v>
      </c>
      <c r="H10" s="54" t="n">
        <v>137</v>
      </c>
      <c r="I10" s="54" t="n">
        <v>250</v>
      </c>
    </row>
    <row r="11">
      <c r="B11" s="77" t="inlineStr">
        <is>
          <t>Gross Acquisitions (nouveaux)</t>
        </is>
      </c>
      <c r="D11" s="87" t="n">
        <v>11</v>
      </c>
      <c r="E11" s="87" t="n">
        <v>21</v>
      </c>
      <c r="F11" s="87" t="n">
        <v>43</v>
      </c>
      <c r="G11" s="87" t="n">
        <v>73</v>
      </c>
      <c r="H11" s="87" t="n">
        <v>114</v>
      </c>
      <c r="I11" s="54" t="n">
        <v>262</v>
      </c>
    </row>
    <row r="12">
      <c r="B12" s="86" t="inlineStr">
        <is>
          <t>Churn (10% de la base)</t>
        </is>
      </c>
      <c r="D12" s="54" t="n">
        <v>0</v>
      </c>
      <c r="E12" s="65" t="n">
        <v>-1</v>
      </c>
      <c r="F12" s="65" t="n">
        <v>-3</v>
      </c>
      <c r="G12" s="65" t="n">
        <v>-7</v>
      </c>
      <c r="H12" s="65" t="n">
        <v>-14</v>
      </c>
      <c r="I12" s="54" t="n">
        <v>-25</v>
      </c>
    </row>
    <row r="13">
      <c r="B13" s="84" t="inlineStr">
        <is>
          <t>Clients at Year End (net)</t>
        </is>
      </c>
      <c r="D13" s="63" t="n">
        <v>11</v>
      </c>
      <c r="E13" s="63" t="n">
        <v>31</v>
      </c>
      <c r="F13" s="63" t="n">
        <v>71</v>
      </c>
      <c r="G13" s="63" t="n">
        <v>137</v>
      </c>
      <c r="H13" s="63" t="n">
        <v>237</v>
      </c>
      <c r="I13" s="63" t="n">
        <v>487</v>
      </c>
    </row>
    <row r="14">
      <c r="B14" s="24" t="inlineStr"/>
    </row>
    <row r="15">
      <c r="B15" s="82" t="inlineStr">
        <is>
          <t>MÉTRIQUES</t>
        </is>
      </c>
      <c r="C15" s="83" t="n"/>
      <c r="D15" s="83" t="n"/>
      <c r="E15" s="83" t="n"/>
      <c r="F15" s="83" t="n"/>
      <c r="G15" s="83" t="n"/>
      <c r="H15" s="83" t="n"/>
      <c r="I15" s="83" t="n"/>
    </row>
    <row r="16">
      <c r="B16" s="24" t="inlineStr">
        <is>
          <t>Taux de churn</t>
        </is>
      </c>
      <c r="D16" s="81" t="n">
        <v>0</v>
      </c>
      <c r="E16" s="81" t="n">
        <v>0.1</v>
      </c>
      <c r="F16" s="81" t="n">
        <v>0.1</v>
      </c>
      <c r="G16" s="81" t="n">
        <v>0.1</v>
      </c>
      <c r="H16" s="81" t="n">
        <v>0.1</v>
      </c>
    </row>
    <row r="17">
      <c r="B17" s="24" t="inlineStr">
        <is>
          <t>Taux de retention</t>
        </is>
      </c>
      <c r="D17" s="81" t="n">
        <v>1</v>
      </c>
      <c r="E17" s="81" t="n">
        <v>0.9</v>
      </c>
      <c r="F17" s="81" t="n">
        <v>0.9</v>
      </c>
      <c r="G17" s="81" t="n">
        <v>0.9</v>
      </c>
      <c r="H17" s="81" t="n">
        <v>0.9</v>
      </c>
    </row>
    <row r="18">
      <c r="B18" s="24" t="inlineStr">
        <is>
          <t>Croissance nette clients</t>
        </is>
      </c>
      <c r="D18" s="54" t="n">
        <v>11</v>
      </c>
      <c r="E18" s="54" t="n">
        <v>20</v>
      </c>
      <c r="F18" s="54" t="n">
        <v>40</v>
      </c>
      <c r="G18" s="54" t="n">
        <v>66</v>
      </c>
      <c r="H18" s="54" t="n">
        <v>100</v>
      </c>
      <c r="I18" s="54" t="n">
        <v>237</v>
      </c>
    </row>
    <row r="21">
      <c r="B21" s="79" t="inlineStr">
        <is>
          <t>RÉSUMÉ</t>
        </is>
      </c>
    </row>
    <row r="22">
      <c r="B22" s="24" t="inlineStr">
        <is>
          <t>• Gross Acquisitions sur 5 years: 262 clients</t>
        </is>
      </c>
    </row>
    <row r="23">
      <c r="B23" s="24" t="inlineStr">
        <is>
          <t>• Clients lost (churn 10%): 25 clients</t>
        </is>
      </c>
    </row>
    <row r="24">
      <c r="B24" s="24" t="inlineStr">
        <is>
          <t>• Net clients end 2030: 237 clients</t>
        </is>
      </c>
    </row>
    <row r="25">
      <c r="B25" s="24" t="inlineStr">
        <is>
          <t>• Overall Retention Rate: 90.5%</t>
        </is>
      </c>
    </row>
    <row r="26">
      <c r="B26" s="24" t="inlineStr"/>
    </row>
    <row r="27">
      <c r="B27" s="76" t="inlineStr">
        <is>
          <t>• The P&amp;L already includes the impact of churn on recurring revenues</t>
        </is>
      </c>
    </row>
    <row r="28">
      <c r="B28" s="24" t="inlineStr">
        <is>
          <t>• Hosting &amp; Rental revenues are calculated on the net client base</t>
        </is>
      </c>
    </row>
    <row r="30">
      <c r="B30" s="79" t="inlineStr">
        <is>
          <t>IMPACT SUR LE TOKEN</t>
        </is>
      </c>
    </row>
    <row r="31">
      <c r="B31" s="24" t="inlineStr">
        <is>
          <t>• Churn also impacts the liquidity pool (clients who resell their tokens)</t>
        </is>
      </c>
    </row>
    <row r="32">
      <c r="B32" s="24" t="inlineStr">
        <is>
          <t>• Assumption: 50% of inflows are offset by outflows</t>
        </is>
      </c>
    </row>
    <row r="33">
      <c r="B33" s="24" t="inlineStr">
        <is>
          <t>• This effect moderates the exponential token price appreciation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I79"/>
  <sheetViews>
    <sheetView workbookViewId="0">
      <selection activeCell="A1" sqref="A1"/>
    </sheetView>
  </sheetViews>
  <sheetFormatPr baseColWidth="8" defaultRowHeight="15"/>
  <cols>
    <col width="40" customWidth="1" style="25" min="2" max="2"/>
    <col width="12" customWidth="1" style="25" min="4" max="4"/>
    <col width="12" customWidth="1" style="25" min="5" max="5"/>
    <col width="12" customWidth="1" style="25" min="6" max="6"/>
    <col width="12" customWidth="1" style="25" min="7" max="7"/>
    <col width="12" customWidth="1" style="25" min="8" max="8"/>
    <col width="12" customWidth="1" style="25" min="9" max="9"/>
  </cols>
  <sheetData>
    <row r="1"/>
    <row r="2">
      <c r="B2" s="72" t="inlineStr">
        <is>
          <t>CASH FLOW STATEMENT</t>
        </is>
      </c>
    </row>
    <row r="3"/>
    <row r="4"/>
    <row r="5">
      <c r="B5" s="51" t="inlineStr">
        <is>
          <t>Cash Flow (K€)</t>
        </is>
      </c>
      <c r="D5" s="52" t="n">
        <v>2026</v>
      </c>
      <c r="E5" s="52" t="n">
        <v>2027</v>
      </c>
      <c r="F5" s="52" t="n">
        <v>2028</v>
      </c>
      <c r="G5" s="52" t="n">
        <v>2029</v>
      </c>
      <c r="H5" s="52" t="n">
        <v>2030</v>
      </c>
      <c r="I5" s="51" t="inlineStr">
        <is>
          <t>Total</t>
        </is>
      </c>
    </row>
    <row r="6">
      <c r="B6" s="82" t="inlineStr">
        <is>
          <t>SIMPLIFIED METHOD (Funding Needs)</t>
        </is>
      </c>
      <c r="C6" s="83" t="n"/>
      <c r="D6" s="83" t="n"/>
      <c r="E6" s="83" t="n"/>
      <c r="F6" s="83" t="n"/>
      <c r="G6" s="83" t="n"/>
      <c r="H6" s="83" t="n"/>
      <c r="I6" s="83" t="n"/>
    </row>
    <row r="7">
      <c r="B7" s="24" t="inlineStr">
        <is>
          <t>Revenue</t>
        </is>
      </c>
      <c r="D7" s="54" t="n">
        <v>1480</v>
      </c>
      <c r="E7" s="54" t="n">
        <v>4239</v>
      </c>
      <c r="F7" s="54" t="n">
        <v>9599</v>
      </c>
      <c r="G7" s="54" t="n">
        <v>17649</v>
      </c>
      <c r="H7" s="54" t="n">
        <v>31694</v>
      </c>
      <c r="I7" s="54" t="n">
        <v>68005</v>
      </c>
    </row>
    <row r="8">
      <c r="B8" s="24" t="inlineStr">
        <is>
          <t>Operating Expenses</t>
        </is>
      </c>
      <c r="D8" s="54" t="n">
        <v>-2150</v>
      </c>
      <c r="E8" s="54" t="n">
        <v>-3090</v>
      </c>
      <c r="F8" s="54" t="n">
        <v>-3770</v>
      </c>
      <c r="G8" s="54" t="n">
        <v>-4690</v>
      </c>
      <c r="H8" s="54" t="n">
        <v>-5130</v>
      </c>
      <c r="I8" s="54" t="n">
        <v>-18830</v>
      </c>
    </row>
    <row r="9">
      <c r="B9" s="59">
        <f> EBITDA</f>
        <v/>
      </c>
      <c r="D9" s="54" t="n">
        <v>-670</v>
      </c>
      <c r="E9" s="54" t="n">
        <v>1149</v>
      </c>
      <c r="F9" s="54" t="n">
        <v>5829</v>
      </c>
      <c r="G9" s="54" t="n">
        <v>12959</v>
      </c>
      <c r="H9" s="54" t="n">
        <v>26564</v>
      </c>
      <c r="I9" s="54" t="n">
        <v>49175</v>
      </c>
    </row>
    <row r="10">
      <c r="B10" s="59" t="inlineStr">
        <is>
          <t>Net Result (simplified)</t>
        </is>
      </c>
      <c r="D10" s="60" t="n">
        <v>-670</v>
      </c>
      <c r="E10" s="60" t="n">
        <v>1149</v>
      </c>
      <c r="F10" s="60" t="n">
        <v>5829</v>
      </c>
      <c r="G10" s="60" t="n">
        <v>12959</v>
      </c>
      <c r="H10" s="60" t="n">
        <v>26564</v>
      </c>
      <c r="I10" s="54" t="n">
        <v>47800</v>
      </c>
    </row>
    <row r="11">
      <c r="B11" s="84" t="inlineStr">
        <is>
          <t>Cumulative Cash (simplified)</t>
        </is>
      </c>
      <c r="D11" s="63" t="n">
        <v>-670</v>
      </c>
      <c r="E11" s="63" t="n">
        <v>479</v>
      </c>
      <c r="F11" s="63" t="n">
        <v>6308</v>
      </c>
      <c r="G11" s="63" t="n">
        <v>19267</v>
      </c>
      <c r="H11" s="63" t="n">
        <v>45831</v>
      </c>
      <c r="I11" s="63" t="n">
        <v>73300</v>
      </c>
    </row>
    <row r="12">
      <c r="B12" s="24" t="inlineStr"/>
    </row>
    <row r="13">
      <c r="B13" s="82" t="inlineStr">
        <is>
          <t>DETAILED METHOD (with Tax &amp; WC)</t>
        </is>
      </c>
      <c r="C13" s="83" t="n"/>
      <c r="D13" s="83" t="n"/>
      <c r="E13" s="83" t="n"/>
      <c r="F13" s="83" t="n"/>
      <c r="G13" s="83" t="n"/>
      <c r="H13" s="83" t="n"/>
      <c r="I13" s="83" t="n"/>
    </row>
    <row r="14">
      <c r="B14" s="24" t="inlineStr">
        <is>
          <t>Net Income (with Tax 13.72%)</t>
        </is>
      </c>
      <c r="D14" s="54" t="n">
        <v>-720</v>
      </c>
      <c r="E14" s="54" t="n">
        <v>1021</v>
      </c>
      <c r="F14" s="54" t="n">
        <v>4943</v>
      </c>
      <c r="G14" s="54" t="n">
        <v>11095</v>
      </c>
      <c r="H14" s="54" t="n">
        <v>22833</v>
      </c>
      <c r="I14" s="54" t="n">
        <v>42437</v>
      </c>
    </row>
    <row r="15">
      <c r="B15" s="24" t="inlineStr">
        <is>
          <t>+ Depreciation &amp; Amortization</t>
        </is>
      </c>
      <c r="D15" s="54" t="n">
        <v>50</v>
      </c>
      <c r="E15" s="54" t="n">
        <v>80</v>
      </c>
      <c r="F15" s="54" t="n">
        <v>100</v>
      </c>
      <c r="G15" s="54" t="n">
        <v>100</v>
      </c>
      <c r="H15" s="54" t="n">
        <v>100</v>
      </c>
      <c r="I15" s="54" t="n">
        <v>430</v>
      </c>
    </row>
    <row r="16">
      <c r="B16" s="73" t="inlineStr">
        <is>
          <t>- Working Capital Change (DSO 30j)</t>
        </is>
      </c>
      <c r="D16" s="65" t="n">
        <v>-371</v>
      </c>
      <c r="E16" s="65" t="n">
        <v>-686</v>
      </c>
      <c r="F16" s="65" t="n">
        <v>-1343</v>
      </c>
      <c r="G16" s="65" t="n">
        <v>-2011</v>
      </c>
      <c r="H16" s="65" t="n">
        <v>-3499</v>
      </c>
      <c r="I16" s="54" t="n">
        <v>-7910</v>
      </c>
    </row>
    <row r="17">
      <c r="B17" s="59">
        <f> Operating Cash Flow</f>
        <v/>
      </c>
      <c r="D17" s="60" t="n">
        <v>-792</v>
      </c>
      <c r="E17" s="60" t="n">
        <v>875</v>
      </c>
      <c r="F17" s="60" t="n">
        <v>4602</v>
      </c>
      <c r="G17" s="60" t="n">
        <v>10533</v>
      </c>
      <c r="H17" s="60" t="n">
        <v>21779</v>
      </c>
      <c r="I17" s="54" t="n">
        <v>40124</v>
      </c>
    </row>
    <row r="18">
      <c r="B18" s="84" t="inlineStr">
        <is>
          <t>Cumulative Cash (detailed)</t>
        </is>
      </c>
      <c r="D18" s="62" t="n">
        <v>-1017</v>
      </c>
      <c r="E18" s="62" t="n">
        <v>-570</v>
      </c>
      <c r="F18" s="63" t="n">
        <v>3263</v>
      </c>
      <c r="G18" s="63" t="n">
        <v>12732</v>
      </c>
      <c r="H18" s="63" t="n">
        <v>32661</v>
      </c>
      <c r="I18" s="63" t="n">
        <v>61933</v>
      </c>
    </row>
    <row r="19">
      <c r="B19" s="24" t="inlineStr"/>
    </row>
    <row r="20">
      <c r="B20" s="82" t="inlineStr">
        <is>
          <t>SIMPLIFIED vs DETAILED VARIANCE</t>
        </is>
      </c>
      <c r="C20" s="83" t="n"/>
      <c r="D20" s="83" t="n"/>
      <c r="E20" s="83" t="n"/>
      <c r="F20" s="83" t="n"/>
      <c r="G20" s="83" t="n"/>
      <c r="H20" s="83" t="n"/>
      <c r="I20" s="83" t="n"/>
    </row>
    <row r="21">
      <c r="B21" s="73" t="inlineStr">
        <is>
          <t>Variance Cumulative Cash</t>
        </is>
      </c>
      <c r="D21" s="65" t="n">
        <v>-363</v>
      </c>
      <c r="E21" s="65" t="n">
        <v>-172</v>
      </c>
      <c r="F21" s="54" t="n">
        <v>1108</v>
      </c>
      <c r="G21" s="54" t="n">
        <v>3118</v>
      </c>
      <c r="H21" s="54" t="n">
        <v>7676</v>
      </c>
      <c r="I21" s="54" t="n">
        <v>11367</v>
      </c>
    </row>
    <row r="22"/>
    <row r="23"/>
    <row r="24">
      <c r="B24" s="59" t="inlineStr">
        <is>
          <t>NOTES:</t>
        </is>
      </c>
    </row>
    <row r="25">
      <c r="B25" s="68" t="inlineStr">
        <is>
          <t>• Simplified Method: consistent with the Funding Needs document for investors</t>
        </is>
      </c>
    </row>
    <row r="26">
      <c r="B26" s="68" t="inlineStr">
        <is>
          <t>• Detailed Method: inclut taxes (IS 13.72% Fribourg) et WC (DSO 30 days)</t>
        </is>
      </c>
    </row>
    <row r="27">
      <c r="B27" s="68" t="inlineStr">
        <is>
          <t>• The variance comes mainly from taxes (-6.6M€) et du WC (-2.7M€)</t>
        </is>
      </c>
    </row>
    <row r="28">
      <c r="B28" s="68" t="inlineStr">
        <is>
          <t>• The Funding Needs document is intended for a quick summary for investors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60"/>
  <sheetViews>
    <sheetView workbookViewId="0">
      <selection activeCell="A1" sqref="A1"/>
    </sheetView>
  </sheetViews>
  <sheetFormatPr baseColWidth="8" defaultRowHeight="15"/>
  <cols>
    <col width="55" customWidth="1" style="25" min="2" max="2"/>
    <col width="15" customWidth="1" style="25" min="3" max="3"/>
    <col width="15" customWidth="1" style="25" min="4" max="4"/>
    <col width="12" customWidth="1" style="25" min="5" max="5"/>
    <col width="12" customWidth="1" style="25" min="6" max="6"/>
    <col width="12" customWidth="1" style="25" min="7" max="7"/>
    <col width="12" customWidth="1" style="25" min="8" max="8"/>
    <col width="12" customWidth="1" style="25" min="9" max="9"/>
  </cols>
  <sheetData>
    <row r="2">
      <c r="B2" s="72" t="inlineStr">
        <is>
          <t>FUNDING NEEDS &amp; RUNWAY ANALYSIS (DSO 90 DAYS)</t>
        </is>
      </c>
    </row>
    <row r="5">
      <c r="B5" s="50" t="inlineStr">
        <is>
          <t>1. CASH FLOW EVOLUTION WITHOUT FUNDING</t>
        </is>
      </c>
    </row>
    <row r="7">
      <c r="B7" t="inlineStr"/>
      <c r="C7" s="51" t="inlineStr">
        <is>
          <t>2026</t>
        </is>
      </c>
      <c r="D7" s="51" t="inlineStr">
        <is>
          <t>2027</t>
        </is>
      </c>
      <c r="E7" s="51" t="inlineStr">
        <is>
          <t>2028</t>
        </is>
      </c>
      <c r="F7" s="51" t="inlineStr">
        <is>
          <t>2029</t>
        </is>
      </c>
      <c r="G7" s="51" t="inlineStr">
        <is>
          <t>2030</t>
        </is>
      </c>
      <c r="H7" s="51" t="inlineStr">
        <is>
          <t>Total</t>
        </is>
      </c>
    </row>
    <row r="8">
      <c r="B8" t="inlineStr">
        <is>
          <t>Net Income (K€)</t>
        </is>
      </c>
      <c r="C8" s="92" t="n">
        <v>-671</v>
      </c>
      <c r="D8" s="93" t="n">
        <v>1108</v>
      </c>
      <c r="E8" s="93" t="n">
        <v>5151</v>
      </c>
      <c r="F8" s="93" t="n">
        <v>11455</v>
      </c>
      <c r="G8" s="93" t="n">
        <v>23403</v>
      </c>
      <c r="H8" t="n">
        <v>40446</v>
      </c>
    </row>
    <row r="9">
      <c r="B9" t="inlineStr">
        <is>
          <t>D&amp;A (K€)</t>
        </is>
      </c>
      <c r="C9" t="n">
        <v>25</v>
      </c>
      <c r="D9" t="n">
        <v>25</v>
      </c>
      <c r="E9" t="n">
        <v>25</v>
      </c>
      <c r="F9" t="n">
        <v>25</v>
      </c>
      <c r="G9" t="n">
        <v>25</v>
      </c>
    </row>
    <row r="10">
      <c r="B10" t="inlineStr">
        <is>
          <t>Δ Working Capital - DSO 90 days (K€)</t>
        </is>
      </c>
      <c r="C10" s="92" t="n">
        <v>-371</v>
      </c>
      <c r="D10" s="92" t="n">
        <v>-686</v>
      </c>
      <c r="E10" s="92" t="n">
        <v>-1343</v>
      </c>
      <c r="F10" s="92" t="n">
        <v>-2011</v>
      </c>
      <c r="G10" s="92" t="n">
        <v>-3499</v>
      </c>
      <c r="H10" t="n">
        <v>-7910</v>
      </c>
    </row>
    <row r="11">
      <c r="B11" s="59" t="inlineStr">
        <is>
          <t>Operating Cash Flow (K€)</t>
        </is>
      </c>
      <c r="C11" s="98" t="n">
        <v>-1017</v>
      </c>
      <c r="D11" s="99" t="n">
        <v>447</v>
      </c>
      <c r="E11" s="99" t="n">
        <v>3833</v>
      </c>
      <c r="F11" s="99" t="n">
        <v>9469</v>
      </c>
      <c r="G11" s="99" t="n">
        <v>19929</v>
      </c>
      <c r="H11" t="n">
        <v>32661</v>
      </c>
    </row>
    <row r="12">
      <c r="B12" t="inlineStr">
        <is>
          <t>Cumulative Cash (K€)</t>
        </is>
      </c>
      <c r="C12" s="100" t="n">
        <v>-1017</v>
      </c>
      <c r="D12" s="100" t="n">
        <v>-570</v>
      </c>
      <c r="E12" s="54" t="n">
        <v>3263</v>
      </c>
      <c r="F12" s="54" t="n">
        <v>12732</v>
      </c>
      <c r="G12" s="54" t="n">
        <v>32661</v>
      </c>
      <c r="H12" t="n">
        <v>32661</v>
      </c>
    </row>
    <row r="14">
      <c r="B14" s="91" t="inlineStr">
        <is>
          <t>⚠️ Cash low point: -1,017 K€ (end of 2026) → -570 K€ (end of 2027)</t>
        </is>
      </c>
    </row>
    <row r="17">
      <c r="B17" s="50" t="inlineStr">
        <is>
          <t>2. SCENARIO WITH €3.5M FUNDRAISE</t>
        </is>
      </c>
    </row>
    <row r="19">
      <c r="B19" t="inlineStr"/>
      <c r="C19" s="51" t="inlineStr">
        <is>
          <t>2026</t>
        </is>
      </c>
      <c r="D19" s="51" t="inlineStr">
        <is>
          <t>2027</t>
        </is>
      </c>
      <c r="E19" s="51" t="inlineStr">
        <is>
          <t>2028</t>
        </is>
      </c>
      <c r="F19" s="51" t="inlineStr">
        <is>
          <t>2029</t>
        </is>
      </c>
      <c r="G19" s="51" t="inlineStr">
        <is>
          <t>2030</t>
        </is>
      </c>
    </row>
    <row r="20">
      <c r="B20" t="inlineStr">
        <is>
          <t>Cash at Year Start (K€)</t>
        </is>
      </c>
      <c r="C20" s="54" t="n">
        <v>3500</v>
      </c>
      <c r="D20" s="54" t="n">
        <v>2483</v>
      </c>
      <c r="E20" s="54" t="n">
        <v>2930</v>
      </c>
      <c r="F20" s="54" t="n">
        <v>6763</v>
      </c>
      <c r="G20" s="54" t="n">
        <v>16232</v>
      </c>
    </row>
    <row r="21">
      <c r="B21" t="inlineStr">
        <is>
          <t>Operating Cash Flow (K€)</t>
        </is>
      </c>
      <c r="C21" s="92" t="n">
        <v>-1017</v>
      </c>
      <c r="D21" s="93" t="n">
        <v>447</v>
      </c>
      <c r="E21" s="93" t="n">
        <v>3833</v>
      </c>
      <c r="F21" s="93" t="n">
        <v>9469</v>
      </c>
      <c r="G21" s="93" t="n">
        <v>19929</v>
      </c>
    </row>
    <row r="22">
      <c r="B22" s="59" t="inlineStr">
        <is>
          <t>Cash at Year End (K€)</t>
        </is>
      </c>
      <c r="C22" s="63" t="n">
        <v>2483</v>
      </c>
      <c r="D22" s="63" t="n">
        <v>2930</v>
      </c>
      <c r="E22" s="63" t="n">
        <v>6763</v>
      </c>
      <c r="F22" s="63" t="n">
        <v>16232</v>
      </c>
      <c r="G22" s="63" t="n">
        <v>36161</v>
      </c>
    </row>
    <row r="23">
      <c r="B23" t="inlineStr">
        <is>
          <t>Runway</t>
        </is>
      </c>
      <c r="C23" s="94" t="inlineStr">
        <is>
          <t>41 months</t>
        </is>
      </c>
      <c r="D23" s="94" t="inlineStr">
        <is>
          <t>∞</t>
        </is>
      </c>
      <c r="E23" s="94" t="inlineStr">
        <is>
          <t>∞</t>
        </is>
      </c>
      <c r="F23" s="94" t="inlineStr">
        <is>
          <t>∞</t>
        </is>
      </c>
      <c r="G23" s="94" t="inlineStr">
        <is>
          <t>∞</t>
        </is>
      </c>
    </row>
    <row r="26">
      <c r="B26" s="50" t="inlineStr">
        <is>
          <t>3. USE OF FUNDS (€3.5M)</t>
        </is>
      </c>
    </row>
    <row r="28">
      <c r="B28" s="51" t="inlineStr">
        <is>
          <t>Allocation</t>
        </is>
      </c>
      <c r="C28" s="51" t="inlineStr">
        <is>
          <t>Amount (K€)</t>
        </is>
      </c>
      <c r="D28" s="51" t="inlineStr">
        <is>
          <t>%</t>
        </is>
      </c>
    </row>
    <row r="29">
      <c r="B29" t="inlineStr">
        <is>
          <t>Minimum funding need (2026-2027 cash burn)</t>
        </is>
      </c>
      <c r="C29" s="54" t="n">
        <v>1017</v>
      </c>
      <c r="D29" s="81" t="n">
        <v>0.29</v>
      </c>
    </row>
    <row r="30">
      <c r="B30" t="inlineStr">
        <is>
          <t>Working capital buffer (DSO 90 days)</t>
        </is>
      </c>
      <c r="C30" s="54" t="n">
        <v>600</v>
      </c>
      <c r="D30" s="81" t="n">
        <v>0.17</v>
      </c>
    </row>
    <row r="31">
      <c r="B31" t="inlineStr">
        <is>
          <t>Execution &amp; contingency buffer</t>
        </is>
      </c>
      <c r="C31" s="54" t="n">
        <v>1083</v>
      </c>
      <c r="D31" s="81" t="n">
        <v>0.31</v>
      </c>
    </row>
    <row r="32">
      <c r="B32" t="inlineStr">
        <is>
          <t>Acceleration (opportunities)</t>
        </is>
      </c>
      <c r="C32" s="54" t="n">
        <v>800</v>
      </c>
      <c r="D32" s="81" t="n">
        <v>0.23</v>
      </c>
    </row>
    <row r="33">
      <c r="B33" s="59" t="inlineStr">
        <is>
          <t>TOTAL</t>
        </is>
      </c>
      <c r="C33" s="59" t="n">
        <v>3500</v>
      </c>
      <c r="D33" s="81" t="n">
        <v>1</v>
      </c>
    </row>
    <row r="36">
      <c r="B36" s="50" t="inlineStr">
        <is>
          <t>4. KEY MESSAGES FOR INVESTORS</t>
        </is>
      </c>
    </row>
    <row r="38">
      <c r="B38" s="77" t="inlineStr">
        <is>
          <t>✅ Break-even (P&amp;L) reached in 2027</t>
        </is>
      </c>
    </row>
    <row r="39">
      <c r="B39" s="77" t="inlineStr">
        <is>
          <t>✅ Cash flow positive from 2028 onwards</t>
        </is>
      </c>
    </row>
    <row r="40">
      <c r="B40" s="77" t="inlineStr">
        <is>
          <t>✅ Runway of 41 months with €3.5M raise</t>
        </is>
      </c>
    </row>
    <row r="41">
      <c r="B41" s="77" t="inlineStr">
        <is>
          <t>✅ Conservative working capital assumption (DSO 90 days)</t>
        </is>
      </c>
    </row>
    <row r="42">
      <c r="B42" s="77" t="inlineStr">
        <is>
          <t>✅ Conservative token pricing: beginning-of-period prices used</t>
        </is>
      </c>
    </row>
    <row r="43">
      <c r="B43" s="77" t="inlineStr">
        <is>
          <t>✅ Cash at end of 2030: ~€36M (excluding token appreciation)</t>
        </is>
      </c>
    </row>
    <row r="46">
      <c r="B46" s="50" t="inlineStr">
        <is>
          <t>5. STRESS TEST - 50% REVENUE SHORTFALL IN 2026</t>
        </is>
      </c>
    </row>
    <row r="48">
      <c r="B48" t="inlineStr">
        <is>
          <t>Scenario: 2026 revenues = 50% of projections</t>
        </is>
      </c>
    </row>
    <row r="49">
      <c r="B49" t="inlineStr">
        <is>
          <t>• 2026 operating cash flow: -1,760 K€ (vs -1,017 K€ base)</t>
        </is>
      </c>
    </row>
    <row r="50">
      <c r="B50" t="inlineStr">
        <is>
          <t>• Cash at end of 2026: 1,740 K€</t>
        </is>
      </c>
    </row>
    <row r="51">
      <c r="B51" s="91" t="inlineStr">
        <is>
          <t>• Runway: 12+ months (conservative)</t>
        </is>
      </c>
    </row>
    <row r="54">
      <c r="B54" s="50" t="inlineStr">
        <is>
          <t>6. SENSITIVITY: DSO 30 DAYS vs 90 DAYS</t>
        </is>
      </c>
    </row>
    <row r="56">
      <c r="B56" t="inlineStr"/>
      <c r="C56" s="51" t="inlineStr">
        <is>
          <t>DSO 30 days</t>
        </is>
      </c>
      <c r="D56" s="51" t="inlineStr">
        <is>
          <t>DSO 90 days</t>
        </is>
      </c>
      <c r="E56" s="51" t="inlineStr">
        <is>
          <t>Difference</t>
        </is>
      </c>
    </row>
    <row r="57">
      <c r="B57" t="inlineStr">
        <is>
          <t>Working Capital (end 2030)</t>
        </is>
      </c>
      <c r="C57" s="54" t="n">
        <v>2637</v>
      </c>
      <c r="D57" s="54" t="n">
        <v>7910</v>
      </c>
      <c r="E57" s="92" t="n">
        <v>-5273</v>
      </c>
    </row>
    <row r="58">
      <c r="B58" t="inlineStr">
        <is>
          <t>Cash flow cumulative 2030</t>
        </is>
      </c>
      <c r="C58" s="54" t="n">
        <v>37934</v>
      </c>
      <c r="D58" s="54" t="n">
        <v>32661</v>
      </c>
      <c r="E58" s="92" t="n">
        <v>-5273</v>
      </c>
    </row>
    <row r="59">
      <c r="B59" t="inlineStr">
        <is>
          <t>Runway with €3.5M (months)</t>
        </is>
      </c>
      <c r="C59" s="54" t="n">
        <v>63</v>
      </c>
      <c r="D59" s="54" t="n">
        <v>41</v>
      </c>
      <c r="E59" s="92" t="n">
        <v>-22</v>
      </c>
    </row>
    <row r="60">
      <c r="B60" t="inlineStr">
        <is>
          <t>Min funding need (K€)</t>
        </is>
      </c>
      <c r="C60" s="54" t="n">
        <v>770</v>
      </c>
      <c r="D60" s="54" t="n">
        <v>1017</v>
      </c>
      <c r="E60" s="93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2025-11-25T13:25:10Z</dcterms:created>
  <dcterms:modified xmlns:dcterms="http://purl.org/dc/terms/" xmlns:xsi="http://www.w3.org/2001/XMLSchema-instance" xsi:type="dcterms:W3CDTF">2025-11-25T16:12:59Z</dcterms:modified>
  <cp:revision>0</cp:revision>
</cp:coreProperties>
</file>