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Guide" sheetId="8" state="visible" r:id="rId8"/>
  </sheets>
  <definedNames>
    <definedName name="HostGrowth">Assumptions!$B$33</definedName>
    <definedName name="GrowthTokens2027">Assumptions!$C$14</definedName>
    <definedName name="ScaleTokens2030">Assumptions!$F$15</definedName>
    <definedName name="HostScale">Assumptions!$B$34</definedName>
    <definedName name="SetupStarter">Assumptions!$B$25</definedName>
    <definedName name="ScaleTokens2028">Assumptions!$D$15</definedName>
    <definedName name="RentalRateY1">Assumptions!$B$37</definedName>
    <definedName name="StarterTokens2027">Assumptions!$C$13</definedName>
    <definedName name="SetupScale">Assumptions!$B$27</definedName>
    <definedName name="SetupEnterprise">Assumptions!$B$28</definedName>
    <definedName name="RentalRate">Assumptions!$B$37</definedName>
    <definedName name="RentalRate_Y1">Assumptions!$B$37</definedName>
    <definedName name="GrowthTokens2028">Assumptions!$D$14</definedName>
    <definedName name="TokenPrice2026">Assumptions!$B$5</definedName>
    <definedName name="StarterTokens2030">Assumptions!$F$13</definedName>
    <definedName name="StarterTokens2028">Assumptions!$D$13</definedName>
    <definedName name="EnterpriseTokensInit">Assumptions!$B$16</definedName>
    <definedName name="TokenPrice2027">Assumptions!$B$6</definedName>
    <definedName name="GrowthTokens2030">Assumptions!$F$14</definedName>
    <definedName name="GrowthTokens2029">Assumptions!$E$14</definedName>
    <definedName name="ScaleTokens2027">Assumptions!$C$15</definedName>
    <definedName name="ThresholdReduction">Assumptions!$A$21</definedName>
    <definedName name="TokenPrice2031">Assumptions!$B$10</definedName>
    <definedName name="SetupGrowth">Assumptions!$B$26</definedName>
    <definedName name="EnterpriseTokens2028">Assumptions!$D$16</definedName>
    <definedName name="StarterTokens2029">Assumptions!$E$13</definedName>
    <definedName name="EnterpriseTokens2029">Assumptions!$E$16</definedName>
    <definedName name="HostEnterprise">Assumptions!$B$35</definedName>
    <definedName name="TokenPrice2029">Assumptions!$B$8</definedName>
    <definedName name="ScaleTokensInit">Assumptions!$B$15</definedName>
    <definedName name="HostStarter">Assumptions!$B$32</definedName>
    <definedName name="TokenPrice2028">Assumptions!$B$7</definedName>
    <definedName name="StarterTokensInit">Assumptions!$B$13</definedName>
    <definedName name="TokenPrice2030">Assumptions!$B$9</definedName>
    <definedName name="ScaleTokens2029">Assumptions!$E$15</definedName>
    <definedName name="RentalRateYn">Assumptions!$B$38</definedName>
    <definedName name="EnterpriseTokens2027">Assumptions!$C$16</definedName>
    <definedName name="EnterpriseTokens2030">Assumptions!$F$16</definedName>
    <definedName name="GrowthTokensInit">Assumptions!$B$14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\ [$€-1]"/>
    <numFmt numFmtId="165" formatCode="#,##0.00\ [$€-1]"/>
    <numFmt numFmtId="166" formatCode="#,##0\ [$€-1]"/>
    <numFmt numFmtId="167" formatCode="#,##0.0000"/>
    <numFmt numFmtId="168" formatCode="_ * #,##0_)_ ;_ * \(#,##0\)_ ;_ * &quot;-&quot;??_)_ ;_ @_ "/>
    <numFmt numFmtId="169" formatCode="#,##0\€"/>
  </numFmts>
  <fonts count="9">
    <font>
      <name val="Calibri"/>
      <color theme="1"/>
      <sz val="11"/>
      <scheme val="minor"/>
    </font>
    <font>
      <name val="Calibri"/>
      <b val="1"/>
      <color theme="1"/>
      <sz val="14"/>
    </font>
    <font>
      <name val="Calibri"/>
      <i val="1"/>
      <color rgb="FF666666"/>
      <sz val="11"/>
    </font>
    <font>
      <name val="Calibri"/>
      <color theme="1"/>
      <sz val="11"/>
    </font>
    <font>
      <name val="Calibri"/>
      <color theme="1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i val="1"/>
      <color theme="1"/>
      <sz val="11"/>
    </font>
    <font>
      <name val="Calibri"/>
      <b val="1"/>
      <color rgb="FF000000"/>
      <sz val="1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2" pivotButton="0" quotePrefix="0" xfId="0"/>
    <xf numFmtId="0" fontId="6" fillId="0" borderId="0" pivotButton="0" quotePrefix="0" xfId="0"/>
    <xf numFmtId="0" fontId="5" fillId="3" borderId="2" pivotButton="0" quotePrefix="0" xfId="0"/>
    <xf numFmtId="0" fontId="6" fillId="4" borderId="0" pivotButton="0" quotePrefix="0" xfId="0"/>
    <xf numFmtId="164" fontId="3" fillId="2" borderId="1" pivotButton="0" quotePrefix="0" xfId="0"/>
    <xf numFmtId="165" fontId="6" fillId="0" borderId="0" pivotButton="0" quotePrefix="0" xfId="0"/>
    <xf numFmtId="164" fontId="6" fillId="0" borderId="0" pivotButton="0" quotePrefix="0" xfId="0"/>
    <xf numFmtId="166" fontId="6" fillId="0" borderId="0" pivotButton="0" quotePrefix="0" xfId="0"/>
    <xf numFmtId="166" fontId="6" fillId="4" borderId="0" pivotButton="0" quotePrefix="0" xfId="0"/>
    <xf numFmtId="164" fontId="6" fillId="4" borderId="0" pivotButton="0" quotePrefix="0" xfId="0"/>
    <xf numFmtId="3" fontId="6" fillId="4" borderId="0" pivotButton="0" quotePrefix="0" xfId="0"/>
    <xf numFmtId="0" fontId="6" fillId="4" borderId="0" pivotButton="0" quotePrefix="0" xfId="0"/>
    <xf numFmtId="166" fontId="6" fillId="4" borderId="0" pivotButton="0" quotePrefix="0" xfId="0"/>
    <xf numFmtId="9" fontId="3" fillId="0" borderId="0" pivotButton="0" quotePrefix="0" xfId="0"/>
    <xf numFmtId="165" fontId="6" fillId="0" borderId="0" pivotButton="0" quotePrefix="0" xfId="0"/>
    <xf numFmtId="165" fontId="6" fillId="0" borderId="0" pivotButton="0" quotePrefix="0" xfId="0"/>
    <xf numFmtId="165" fontId="6" fillId="4" borderId="0" pivotButton="0" quotePrefix="0" xfId="0"/>
    <xf numFmtId="165" fontId="3" fillId="2" borderId="1" pivotButton="0" quotePrefix="0" xfId="0"/>
    <xf numFmtId="3" fontId="6" fillId="4" borderId="0" pivotButton="0" quotePrefix="0" xfId="0"/>
    <xf numFmtId="167" fontId="3" fillId="2" borderId="1" pivotButton="0" quotePrefix="0" xfId="0"/>
    <xf numFmtId="0" fontId="5" fillId="0" borderId="0" pivotButton="0" quotePrefix="0" xfId="0"/>
    <xf numFmtId="168" fontId="3" fillId="2" borderId="1" pivotButton="0" quotePrefix="0" xfId="0"/>
    <xf numFmtId="9" fontId="7" fillId="0" borderId="0" pivotButton="0" quotePrefix="0" xfId="0"/>
    <xf numFmtId="168" fontId="3" fillId="0" borderId="0" pivotButton="0" quotePrefix="0" xfId="0"/>
    <xf numFmtId="0" fontId="7" fillId="0" borderId="0" pivotButton="0" quotePrefix="0" xfId="0"/>
    <xf numFmtId="0" fontId="6" fillId="5" borderId="0" pivotButton="0" quotePrefix="0" xfId="0"/>
    <xf numFmtId="169" fontId="3" fillId="2" borderId="1" pivotButton="0" quotePrefix="0" xfId="0"/>
    <xf numFmtId="169" fontId="3" fillId="0" borderId="0" pivotButton="0" quotePrefix="0" xfId="0"/>
    <xf numFmtId="169" fontId="3" fillId="2" borderId="1" pivotButton="0" quotePrefix="0" xfId="0"/>
    <xf numFmtId="9" fontId="3" fillId="2" borderId="1" pivotButton="0" quotePrefix="0" xfId="0"/>
    <xf numFmtId="0" fontId="3" fillId="6" borderId="1" pivotButton="0" quotePrefix="0" xfId="0"/>
    <xf numFmtId="1" fontId="3" fillId="2" borderId="1" pivotButton="0" quotePrefix="0" xfId="0"/>
    <xf numFmtId="169" fontId="3" fillId="6" borderId="1" pivotButton="0" quotePrefix="0" xfId="0"/>
    <xf numFmtId="167" fontId="3" fillId="6" borderId="1" pivotButton="0" quotePrefix="0" xfId="0"/>
    <xf numFmtId="168" fontId="3" fillId="6" borderId="1" pivotButton="0" quotePrefix="0" xfId="0"/>
    <xf numFmtId="9" fontId="3" fillId="6" borderId="1" pivotButton="0" quotePrefix="0" xfId="0"/>
    <xf numFmtId="1" fontId="3" fillId="6" borderId="1" pivotButton="0" quotePrefix="0" xfId="0"/>
    <xf numFmtId="9" fontId="3" fillId="0" borderId="0" applyAlignment="1" pivotButton="0" quotePrefix="0" xfId="0">
      <alignment horizontal="center"/>
    </xf>
    <xf numFmtId="167" fontId="3" fillId="0" borderId="0" pivotButton="0" quotePrefix="0" xfId="0"/>
    <xf numFmtId="1" fontId="3" fillId="0" borderId="0" pivotButton="0" quotePrefix="0" xfId="0"/>
    <xf numFmtId="169" fontId="5" fillId="0" borderId="0" pivotButton="0" quotePrefix="0" xfId="0"/>
    <xf numFmtId="0" fontId="3" fillId="7" borderId="1" pivotButton="0" quotePrefix="0" xfId="0"/>
    <xf numFmtId="169" fontId="3" fillId="7" borderId="1" pivotButton="0" quotePrefix="0" xfId="0"/>
    <xf numFmtId="167" fontId="3" fillId="7" borderId="1" pivotButton="0" quotePrefix="0" xfId="0"/>
    <xf numFmtId="168" fontId="3" fillId="7" borderId="1" pivotButton="0" quotePrefix="0" xfId="0"/>
    <xf numFmtId="9" fontId="3" fillId="7" borderId="1" pivotButton="0" quotePrefix="0" xfId="0"/>
    <xf numFmtId="1" fontId="3" fillId="7" borderId="1" pivotButton="0" quotePrefix="0" xfId="0"/>
    <xf numFmtId="1" fontId="5" fillId="8" borderId="2" pivotButton="0" quotePrefix="0" xfId="0"/>
    <xf numFmtId="169" fontId="5" fillId="8" borderId="3" pivotButton="0" quotePrefix="0" xfId="0"/>
    <xf numFmtId="169" fontId="5" fillId="8" borderId="4" pivotButton="0" quotePrefix="0" xfId="0"/>
    <xf numFmtId="169" fontId="5" fillId="8" borderId="5" pivotButton="0" quotePrefix="0" xfId="0"/>
    <xf numFmtId="169" fontId="6" fillId="0" borderId="0" pivotButton="0" quotePrefix="0" xfId="0"/>
    <xf numFmtId="169" fontId="8" fillId="0" borderId="0" pivotButton="0" quotePrefix="0" xfId="0"/>
    <xf numFmtId="1" fontId="8" fillId="8" borderId="2" pivotButton="0" quotePrefix="0" xfId="0"/>
    <xf numFmtId="169" fontId="8" fillId="8" borderId="3" pivotButton="0" quotePrefix="0" xfId="0"/>
    <xf numFmtId="169" fontId="8" fillId="8" borderId="4" pivotButton="0" quotePrefix="0" xfId="0"/>
    <xf numFmtId="169" fontId="8" fillId="8" borderId="5" pivotButton="0" quotePrefix="0" xfId="0"/>
    <xf numFmtId="3" fontId="3" fillId="0" borderId="0" pivotButton="0" quotePrefix="0" xfId="0"/>
    <xf numFmtId="3" fontId="3" fillId="8" borderId="2" pivotButton="0" quotePrefix="0" xfId="0"/>
    <xf numFmtId="169" fontId="3" fillId="8" borderId="2" pivotButton="0" quotePrefix="0" xfId="0"/>
    <xf numFmtId="169" fontId="5" fillId="8" borderId="2" pivotButton="0" quotePrefix="0" xfId="0"/>
    <xf numFmtId="9" fontId="5" fillId="8" borderId="2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2026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Setup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'2026'!$P$5</f>
            </strRef>
          </cat>
          <val>
            <numRef>
              <f>'2026'!$Q$5</f>
              <numCache/>
            </numRef>
          </val>
        </ser>
        <ser>
          <idx val="1"/>
          <order val="1"/>
          <tx>
            <v>Hosting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'2026'!$P$5</f>
            </strRef>
          </cat>
          <val>
            <numRef>
              <f>'2026'!$Q$6</f>
              <numCache/>
            </numRef>
          </val>
        </ser>
        <ser>
          <idx val="2"/>
          <order val="2"/>
          <tx>
            <v>Rental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'2026'!$P$5</f>
            </strRef>
          </cat>
          <val>
            <numRef>
              <f>'2026'!$Q$7</f>
              <numCache/>
            </numRef>
          </val>
        </ser>
        <gapWidth val="150"/>
        <axId val="285836603"/>
        <axId val="1193235870"/>
      </barChart>
      <catAx>
        <axId val="28583660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93235870"/>
        <lblOffset val="100"/>
      </catAx>
      <valAx>
        <axId val="119323587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€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8583660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2027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Setup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'2027'!$P$5</f>
            </strRef>
          </cat>
          <val>
            <numRef>
              <f>'2027'!$Q$5</f>
              <numCache/>
            </numRef>
          </val>
        </ser>
        <ser>
          <idx val="1"/>
          <order val="1"/>
          <tx>
            <v>Hosting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'2027'!$P$5</f>
            </strRef>
          </cat>
          <val>
            <numRef>
              <f>'2027'!$Q$6</f>
              <numCache/>
            </numRef>
          </val>
        </ser>
        <ser>
          <idx val="2"/>
          <order val="2"/>
          <tx>
            <v>Rental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'2027'!$P$5</f>
            </strRef>
          </cat>
          <val>
            <numRef>
              <f>'2027'!$Q$7</f>
              <numCache/>
            </numRef>
          </val>
        </ser>
        <gapWidth val="150"/>
        <axId val="484603541"/>
        <axId val="65790988"/>
      </barChart>
      <catAx>
        <axId val="48460354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790988"/>
        <lblOffset val="100"/>
      </catAx>
      <valAx>
        <axId val="6579098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€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8460354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2028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Setup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'2028'!$P$5</f>
            </strRef>
          </cat>
          <val>
            <numRef>
              <f>'2028'!$Q$5</f>
              <numCache/>
            </numRef>
          </val>
        </ser>
        <ser>
          <idx val="1"/>
          <order val="1"/>
          <tx>
            <v>Hosting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'2028'!$P$5</f>
            </strRef>
          </cat>
          <val>
            <numRef>
              <f>'2028'!$Q$6</f>
              <numCache/>
            </numRef>
          </val>
        </ser>
        <ser>
          <idx val="2"/>
          <order val="2"/>
          <tx>
            <v>Rental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'2028'!$P$5</f>
            </strRef>
          </cat>
          <val>
            <numRef>
              <f>'2028'!$Q$7</f>
              <numCache/>
            </numRef>
          </val>
        </ser>
        <gapWidth val="150"/>
        <axId val="663669077"/>
        <axId val="156430481"/>
      </barChart>
      <catAx>
        <axId val="6636690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6430481"/>
        <lblOffset val="100"/>
      </catAx>
      <valAx>
        <axId val="15643048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€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63669077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2029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Setup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'2029'!$P$5</f>
            </strRef>
          </cat>
          <val>
            <numRef>
              <f>'2029'!$Q$5</f>
              <numCache/>
            </numRef>
          </val>
        </ser>
        <ser>
          <idx val="1"/>
          <order val="1"/>
          <tx>
            <v>Hosting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'2029'!$P$5</f>
            </strRef>
          </cat>
          <val>
            <numRef>
              <f>'2029'!$Q$6</f>
              <numCache/>
            </numRef>
          </val>
        </ser>
        <ser>
          <idx val="2"/>
          <order val="2"/>
          <tx>
            <v>Rental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'2029'!$P$5</f>
            </strRef>
          </cat>
          <val>
            <numRef>
              <f>'2029'!$Q$7</f>
              <numCache/>
            </numRef>
          </val>
        </ser>
        <gapWidth val="150"/>
        <axId val="1443733744"/>
        <axId val="198793138"/>
      </barChart>
      <catAx>
        <axId val="144373374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8793138"/>
        <lblOffset val="100"/>
      </catAx>
      <valAx>
        <axId val="19879313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€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43733744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split 2030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Setup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'2030'!$P$5</f>
            </strRef>
          </cat>
          <val>
            <numRef>
              <f>'2030'!$Q$5</f>
              <numCache/>
            </numRef>
          </val>
        </ser>
        <ser>
          <idx val="1"/>
          <order val="1"/>
          <tx>
            <v>Hosting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'2030'!$P$5</f>
            </strRef>
          </cat>
          <val>
            <numRef>
              <f>'2030'!$Q$6</f>
              <numCache/>
            </numRef>
          </val>
        </ser>
        <ser>
          <idx val="2"/>
          <order val="2"/>
          <tx>
            <v>Rental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'2030'!$P$5</f>
            </strRef>
          </cat>
          <val>
            <numRef>
              <f>'2030'!$Q$7</f>
              <numCache/>
            </numRef>
          </val>
        </ser>
        <gapWidth val="150"/>
        <axId val="1641975074"/>
        <axId val="762794444"/>
      </barChart>
      <catAx>
        <axId val="164197507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62794444"/>
        <lblOffset val="100"/>
      </catAx>
      <valAx>
        <axId val="7627944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€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41975074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by stream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Setup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Summary!$A$4:$A$8</f>
            </strRef>
          </cat>
          <val>
            <numRef>
              <f>Summary!$C$4:$C$8</f>
              <numCache/>
            </numRef>
          </val>
        </ser>
        <ser>
          <idx val="1"/>
          <order val="1"/>
          <tx>
            <v>Hosting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Summary!$A$4:$A$8</f>
            </strRef>
          </cat>
          <val>
            <numRef>
              <f>Summary!$D$4:$D$8</f>
              <numCache/>
            </numRef>
          </val>
        </ser>
        <ser>
          <idx val="2"/>
          <order val="2"/>
          <tx>
            <v>Rental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Summary!$A$4:$A$8</f>
            </strRef>
          </cat>
          <val>
            <numRef>
              <f>Summary!$E$4:$E$8</f>
              <numCache/>
            </numRef>
          </val>
        </ser>
        <gapWidth val="150"/>
        <axId val="1195455601"/>
        <axId val="1607875604"/>
      </barChart>
      <catAx>
        <axId val="11954556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07875604"/>
        <lblOffset val="100"/>
      </catAx>
      <valAx>
        <axId val="160787560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€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9545560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Token trajectory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Market Cap (€, 1B tokens)</v>
          </tx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Summary!$A$4:$A$8</f>
            </strRef>
          </cat>
          <val>
            <numRef>
              <f>Summary!$I$4:$I$8</f>
              <numCache/>
            </numRef>
          </val>
          <smooth val="0"/>
        </ser>
        <axId val="1378189014"/>
        <axId val="1471754296"/>
      </lineChart>
      <catAx>
        <axId val="137818901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71754296"/>
        <lblOffset val="100"/>
      </catAx>
      <valAx>
        <axId val="147175429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€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8189014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15</col>
      <colOff>0</colOff>
      <row>9</row>
      <rowOff>0</rowOff>
    </from>
    <ext cx="6076950" cy="3457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9</row>
      <rowOff>0</rowOff>
    </from>
    <ext cx="6124575" cy="3457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9</row>
      <rowOff>0</rowOff>
    </from>
    <ext cx="5514975" cy="3457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9</row>
      <rowOff>0</rowOff>
    </from>
    <ext cx="5781675" cy="3457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15</col>
      <colOff>0</colOff>
      <row>9</row>
      <rowOff>0</rowOff>
    </from>
    <ext cx="5886450" cy="3457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2</row>
      <rowOff>0</rowOff>
    </from>
    <ext cx="6210300" cy="3457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10</col>
      <colOff>0</colOff>
      <row>18</row>
      <rowOff>0</rowOff>
    </from>
    <ext cx="6210300" cy="34575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ColWidth="14.43" defaultRowHeight="15" customHeight="1"/>
  <cols>
    <col width="36.71" customWidth="1" style="67" min="1" max="1"/>
    <col width="18.71" customWidth="1" style="67" min="2" max="2"/>
    <col width="11.71" customWidth="1" style="67" min="3" max="3"/>
    <col width="14.57" customWidth="1" style="67" min="4" max="4"/>
    <col width="14.14" customWidth="1" style="67" min="5" max="5"/>
    <col width="13.14" customWidth="1" style="67" min="6" max="6"/>
    <col width="18.86" customWidth="1" style="67" min="7" max="7"/>
    <col width="15.29" customWidth="1" style="67" min="8" max="8"/>
    <col width="20.86" customWidth="1" style="67" min="9" max="9"/>
    <col width="15.29" customWidth="1" style="67" min="10" max="12"/>
    <col width="17.71" customWidth="1" style="67" min="13" max="13"/>
    <col width="23.43" customWidth="1" style="67" min="14" max="14"/>
    <col width="8.859999999999999" customWidth="1" style="67" min="15" max="25"/>
  </cols>
  <sheetData>
    <row r="1">
      <c r="A1" s="1" t="inlineStr">
        <is>
          <t>Swiss 6022 – Business Model Assumptions (fixed references)</t>
        </is>
      </c>
    </row>
    <row r="2">
      <c r="A2" s="2" t="inlineStr">
        <is>
          <t>Edit yellow cells to tune the model. Values flow into years &amp; summary.</t>
        </is>
      </c>
      <c r="D2" s="3" t="n"/>
      <c r="E2" s="4" t="inlineStr">
        <is>
          <t>Cells to be changed</t>
        </is>
      </c>
    </row>
    <row r="3">
      <c r="A3" s="7" t="inlineStr">
        <is>
          <t>Token prices (€/token)</t>
        </is>
      </c>
      <c r="I3" s="6" t="inlineStr">
        <is>
          <t>Pool</t>
        </is>
      </c>
    </row>
    <row r="4">
      <c r="A4" s="7" t="inlineStr">
        <is>
          <t>Year</t>
        </is>
      </c>
      <c r="B4" s="7" t="inlineStr">
        <is>
          <t>€/token (beg of period)</t>
        </is>
      </c>
      <c r="C4" s="4" t="inlineStr">
        <is>
          <t>Growth</t>
        </is>
      </c>
      <c r="D4" s="6" t="inlineStr">
        <is>
          <t>in</t>
        </is>
      </c>
      <c r="E4" s="6" t="inlineStr">
        <is>
          <t>out</t>
        </is>
      </c>
      <c r="F4" s="6" t="inlineStr">
        <is>
          <t>solde</t>
        </is>
      </c>
      <c r="G4" s="7" t="inlineStr">
        <is>
          <t>New price (end of period)</t>
        </is>
      </c>
      <c r="H4" s="7" t="inlineStr">
        <is>
          <t>Market Cap (beg of period)</t>
        </is>
      </c>
      <c r="I4" s="7" t="inlineStr">
        <is>
          <t>Market Cap (enf of period)</t>
        </is>
      </c>
      <c r="J4" s="16" t="inlineStr">
        <is>
          <t>USD</t>
        </is>
      </c>
      <c r="K4" s="16" t="inlineStr">
        <is>
          <t>Price</t>
        </is>
      </c>
      <c r="L4" s="16" t="inlineStr">
        <is>
          <t>Asset swiss 6022</t>
        </is>
      </c>
      <c r="M4" s="16" t="inlineStr">
        <is>
          <t>Cash from pool</t>
        </is>
      </c>
      <c r="N4" s="16" t="inlineStr">
        <is>
          <t>Swiss 6022 assets Value</t>
        </is>
      </c>
    </row>
    <row r="5">
      <c r="A5" s="4" t="n">
        <v>2026</v>
      </c>
      <c r="B5" s="9">
        <f>K5</f>
        <v/>
      </c>
      <c r="D5" s="20">
        <f>'2026'!H14</f>
        <v/>
      </c>
      <c r="E5" s="20">
        <f>0.6*D5</f>
        <v/>
      </c>
      <c r="F5" s="20">
        <f>D5-E5</f>
        <v/>
      </c>
      <c r="G5" s="11">
        <f>B5*(1+F5/J5)</f>
        <v/>
      </c>
      <c r="H5" s="12">
        <f>B5*1000000000</f>
        <v/>
      </c>
      <c r="I5" s="12">
        <f>G5*1000000000</f>
        <v/>
      </c>
      <c r="J5" s="17" t="n">
        <v>75810</v>
      </c>
      <c r="K5" s="14" t="n">
        <v>0.005</v>
      </c>
      <c r="L5" s="23" t="n">
        <v>400000000</v>
      </c>
      <c r="M5" s="16" t="n"/>
      <c r="N5" s="17">
        <f>L5*G5</f>
        <v/>
      </c>
    </row>
    <row r="6">
      <c r="A6" s="4" t="n">
        <v>2027</v>
      </c>
      <c r="B6" s="9">
        <f>G5</f>
        <v/>
      </c>
      <c r="C6" s="18">
        <f>TokenPrice2027/TokenPrice2026-1</f>
        <v/>
      </c>
      <c r="D6" s="20">
        <f>'2027'!H14</f>
        <v/>
      </c>
      <c r="E6" s="20">
        <f>0.5*D6</f>
        <v/>
      </c>
      <c r="F6" s="20">
        <f>D6-E6</f>
        <v/>
      </c>
      <c r="G6" s="20">
        <f>B6*(1+F6/J$5)</f>
        <v/>
      </c>
      <c r="H6" s="12">
        <f>B6*1000000000</f>
        <v/>
      </c>
      <c r="I6" s="12">
        <f>G6*1000000000</f>
        <v/>
      </c>
      <c r="J6" s="17">
        <f>F6+J5</f>
        <v/>
      </c>
      <c r="K6" s="21">
        <f>G6</f>
        <v/>
      </c>
      <c r="L6" s="23" t="n">
        <v>400000000</v>
      </c>
      <c r="M6" s="16" t="n"/>
      <c r="N6" s="17">
        <f>L6*G6</f>
        <v/>
      </c>
    </row>
    <row r="7">
      <c r="A7" s="4" t="n">
        <v>2028</v>
      </c>
      <c r="B7" s="22">
        <f>G6</f>
        <v/>
      </c>
      <c r="C7" s="18">
        <f>TokenPrice2028/TokenPrice2027-1</f>
        <v/>
      </c>
      <c r="D7" s="20">
        <f>'2028'!H14</f>
        <v/>
      </c>
      <c r="E7" s="20">
        <f>0.5*D7</f>
        <v/>
      </c>
      <c r="F7" s="20">
        <f>D7-E7</f>
        <v/>
      </c>
      <c r="G7" s="20">
        <f>B7*(1+F7/J$5)</f>
        <v/>
      </c>
      <c r="H7" s="12">
        <f>B7*1000000000</f>
        <v/>
      </c>
      <c r="I7" s="12">
        <f>G7*1000000000</f>
        <v/>
      </c>
      <c r="J7" s="17">
        <f>F7+J6</f>
        <v/>
      </c>
      <c r="K7" s="21">
        <f>G7</f>
        <v/>
      </c>
      <c r="L7" s="23" t="n">
        <v>400000000</v>
      </c>
      <c r="M7" s="16" t="n"/>
      <c r="N7" s="17">
        <f>L7*G7</f>
        <v/>
      </c>
    </row>
    <row r="8">
      <c r="A8" s="4" t="n">
        <v>2029</v>
      </c>
      <c r="B8" s="22">
        <f>G7</f>
        <v/>
      </c>
      <c r="C8" s="18">
        <f>TokenPrice2029/TokenPrice2028-1</f>
        <v/>
      </c>
      <c r="D8" s="20">
        <f>'2029'!H14</f>
        <v/>
      </c>
      <c r="E8" s="20">
        <f>0.5*D8</f>
        <v/>
      </c>
      <c r="F8" s="20">
        <f>D8-E8</f>
        <v/>
      </c>
      <c r="G8" s="20">
        <f>B8*(1+F8/J$5)</f>
        <v/>
      </c>
      <c r="H8" s="12">
        <f>B8*1000000000</f>
        <v/>
      </c>
      <c r="I8" s="12">
        <f>G8*1000000000</f>
        <v/>
      </c>
      <c r="J8" s="17">
        <f>F8+J7</f>
        <v/>
      </c>
      <c r="K8" s="21">
        <f>G8</f>
        <v/>
      </c>
      <c r="L8" s="23">
        <f>L7-(M8/K8)</f>
        <v/>
      </c>
      <c r="M8" s="16" t="n"/>
      <c r="N8" s="17">
        <f>L8*G8</f>
        <v/>
      </c>
    </row>
    <row r="9">
      <c r="A9" s="4" t="n">
        <v>2030</v>
      </c>
      <c r="B9" s="22">
        <f>G8</f>
        <v/>
      </c>
      <c r="C9" s="18">
        <f>TokenPrice2030/TokenPrice2029-1</f>
        <v/>
      </c>
      <c r="D9" s="20">
        <f>'2030'!H14</f>
        <v/>
      </c>
      <c r="E9" s="20">
        <f>0.5*D9</f>
        <v/>
      </c>
      <c r="F9" s="20">
        <f>D9-E9</f>
        <v/>
      </c>
      <c r="G9" s="20">
        <f>B9*(1+F9/J$5)</f>
        <v/>
      </c>
      <c r="H9" s="12">
        <f>B9*1000000000</f>
        <v/>
      </c>
      <c r="I9" s="12">
        <f>G9*1000000000</f>
        <v/>
      </c>
      <c r="J9" s="17">
        <f>F9+J8</f>
        <v/>
      </c>
      <c r="K9" s="21">
        <f>G9</f>
        <v/>
      </c>
      <c r="L9" s="23">
        <f>L8-(M9/K9)</f>
        <v/>
      </c>
      <c r="M9" s="16" t="n"/>
      <c r="N9" s="17">
        <f>L9*G9</f>
        <v/>
      </c>
    </row>
    <row r="10">
      <c r="A10" s="4" t="n">
        <v>2031</v>
      </c>
      <c r="B10" s="24" t="n"/>
      <c r="C10" s="18" t="n"/>
      <c r="D10" s="20">
        <f>'2029'!H16</f>
        <v/>
      </c>
      <c r="E10" s="20" t="n"/>
      <c r="F10" s="20" t="n"/>
      <c r="G10" s="20" t="n"/>
    </row>
    <row r="11">
      <c r="A11" s="7" t="inlineStr">
        <is>
          <t xml:space="preserve">Stake-to-Access thresholds </t>
        </is>
      </c>
      <c r="B11" s="25" t="inlineStr">
        <is>
          <t>Nb of tokens</t>
        </is>
      </c>
      <c r="H11" s="25" t="inlineStr">
        <is>
          <t>In Euros</t>
        </is>
      </c>
    </row>
    <row r="12">
      <c r="A12" s="7" t="inlineStr">
        <is>
          <t>Tier</t>
        </is>
      </c>
      <c r="B12" s="7" t="inlineStr">
        <is>
          <t>Tokens 2026</t>
        </is>
      </c>
      <c r="C12" s="7" t="inlineStr">
        <is>
          <t>Tokens 2027</t>
        </is>
      </c>
      <c r="D12" s="7" t="inlineStr">
        <is>
          <t>Tokens 2028</t>
        </is>
      </c>
      <c r="E12" s="7" t="inlineStr">
        <is>
          <t>Tokens 2029</t>
        </is>
      </c>
      <c r="F12" s="7" t="inlineStr">
        <is>
          <t>Tokens 2030</t>
        </is>
      </c>
      <c r="G12" s="7" t="inlineStr">
        <is>
          <t>CAGR</t>
        </is>
      </c>
      <c r="H12" s="7" t="inlineStr">
        <is>
          <t xml:space="preserve">Tokens 2026 </t>
        </is>
      </c>
      <c r="I12" s="7" t="inlineStr">
        <is>
          <t>Tokens 2027</t>
        </is>
      </c>
      <c r="J12" s="7" t="inlineStr">
        <is>
          <t>Tokens 2028</t>
        </is>
      </c>
      <c r="K12" s="7" t="inlineStr">
        <is>
          <t>Tokens 2029</t>
        </is>
      </c>
      <c r="L12" s="7" t="inlineStr">
        <is>
          <t>Tokens 2030</t>
        </is>
      </c>
      <c r="M12" s="7" t="inlineStr">
        <is>
          <t>CAGR</t>
        </is>
      </c>
    </row>
    <row r="13">
      <c r="A13" s="4" t="inlineStr">
        <is>
          <t>Starter</t>
        </is>
      </c>
      <c r="B13" s="26" t="n">
        <v>1000000</v>
      </c>
      <c r="C13" s="26">
        <f>0.5*B13</f>
        <v/>
      </c>
      <c r="D13" s="26">
        <f>0.5*C13</f>
        <v/>
      </c>
      <c r="E13" s="26">
        <f>0.5*D13</f>
        <v/>
      </c>
      <c r="F13" s="26">
        <f>0.5*E13</f>
        <v/>
      </c>
      <c r="G13" s="27">
        <f>(F13/B13)^(1/4)-1</f>
        <v/>
      </c>
      <c r="H13" s="28">
        <f>B13*B$5</f>
        <v/>
      </c>
      <c r="I13" s="28">
        <f>C13*B$6</f>
        <v/>
      </c>
      <c r="J13" s="28">
        <f>D13*B$7</f>
        <v/>
      </c>
      <c r="K13" s="28">
        <f>E13*B$8</f>
        <v/>
      </c>
      <c r="L13" s="28">
        <f>F13*B$9</f>
        <v/>
      </c>
      <c r="M13" s="27">
        <f>(L13/H13)^(1/4)-1</f>
        <v/>
      </c>
    </row>
    <row r="14">
      <c r="A14" s="4" t="inlineStr">
        <is>
          <t>Growth</t>
        </is>
      </c>
      <c r="B14" s="26" t="n">
        <v>3000000</v>
      </c>
      <c r="C14" s="26">
        <f>0.5*B14</f>
        <v/>
      </c>
      <c r="D14" s="26">
        <f>0.5*C14</f>
        <v/>
      </c>
      <c r="E14" s="26">
        <f>0.5*D14</f>
        <v/>
      </c>
      <c r="F14" s="26">
        <f>0.5*E14</f>
        <v/>
      </c>
      <c r="G14" s="27">
        <f>(F14/B14)^(1/4)-1</f>
        <v/>
      </c>
      <c r="H14" s="28">
        <f>B14*B$5</f>
        <v/>
      </c>
      <c r="I14" s="28">
        <f>C14*B$6</f>
        <v/>
      </c>
      <c r="J14" s="28">
        <f>D14*B$7</f>
        <v/>
      </c>
      <c r="K14" s="28">
        <f>E14*B$8</f>
        <v/>
      </c>
      <c r="L14" s="28">
        <f>F14*B$9</f>
        <v/>
      </c>
      <c r="M14" s="27">
        <f>(L14/H14)^(1/4)-1</f>
        <v/>
      </c>
    </row>
    <row r="15">
      <c r="A15" s="4" t="inlineStr">
        <is>
          <t>Scale</t>
        </is>
      </c>
      <c r="B15" s="26" t="n">
        <v>7500000</v>
      </c>
      <c r="C15" s="26">
        <f>0.5*B15</f>
        <v/>
      </c>
      <c r="D15" s="26">
        <f>0.5*C15</f>
        <v/>
      </c>
      <c r="E15" s="26">
        <f>0.5*D15</f>
        <v/>
      </c>
      <c r="F15" s="26">
        <f>0.5*E15</f>
        <v/>
      </c>
      <c r="G15" s="27">
        <f>(F15/B15)^(1/4)-1</f>
        <v/>
      </c>
      <c r="H15" s="28">
        <f>B15*B$5</f>
        <v/>
      </c>
      <c r="I15" s="28">
        <f>C15*B$6</f>
        <v/>
      </c>
      <c r="J15" s="28">
        <f>D15*B$7</f>
        <v/>
      </c>
      <c r="K15" s="28">
        <f>E15*B$8</f>
        <v/>
      </c>
      <c r="L15" s="28">
        <f>F15*B$9</f>
        <v/>
      </c>
      <c r="M15" s="27">
        <f>(L15/H15)^(1/4)-1</f>
        <v/>
      </c>
    </row>
    <row r="16">
      <c r="A16" s="4" t="inlineStr">
        <is>
          <t>Enterprise</t>
        </is>
      </c>
      <c r="B16" s="26" t="n">
        <v>9000000</v>
      </c>
      <c r="C16" s="26">
        <f>0.5*B16</f>
        <v/>
      </c>
      <c r="D16" s="26">
        <f>0.5*C16</f>
        <v/>
      </c>
      <c r="E16" s="26">
        <f>0.5*D16</f>
        <v/>
      </c>
      <c r="F16" s="26">
        <f>0.5*E16</f>
        <v/>
      </c>
      <c r="G16" s="27">
        <f>(F16/B16)^(1/4)-1</f>
        <v/>
      </c>
      <c r="H16" s="28">
        <f>B16*B$5</f>
        <v/>
      </c>
      <c r="I16" s="28">
        <f>C16*B$6</f>
        <v/>
      </c>
      <c r="J16" s="28">
        <f>D16*B$7</f>
        <v/>
      </c>
      <c r="K16" s="28">
        <f>E16*B$8</f>
        <v/>
      </c>
      <c r="L16" s="28">
        <f>F16*B$9</f>
        <v/>
      </c>
      <c r="M16" s="27">
        <f>(L16/H16)^(1/4)-1</f>
        <v/>
      </c>
    </row>
    <row r="17">
      <c r="A17" s="29" t="inlineStr">
        <is>
          <t>Delta vs PY</t>
        </is>
      </c>
      <c r="B17" s="29" t="n"/>
      <c r="C17" s="27">
        <f>C16/EnterpriseTokensInit-1</f>
        <v/>
      </c>
      <c r="D17" s="27">
        <f>D16/C16-1</f>
        <v/>
      </c>
      <c r="E17" s="27">
        <f>E16/D16-1</f>
        <v/>
      </c>
      <c r="F17" s="27">
        <f>F16/E16-1</f>
        <v/>
      </c>
      <c r="G17" s="29" t="n"/>
      <c r="H17" s="29" t="n"/>
      <c r="I17" s="27">
        <f>I15/H15-1</f>
        <v/>
      </c>
      <c r="J17" s="27">
        <f>J15/I15-1</f>
        <v/>
      </c>
      <c r="K17" s="27">
        <f>K15/J15-1</f>
        <v/>
      </c>
      <c r="L17" s="27">
        <f>L15/K15-1</f>
        <v/>
      </c>
      <c r="M17" s="18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</row>
    <row r="18">
      <c r="D18" s="18" t="n"/>
    </row>
    <row r="19">
      <c r="A19" s="7" t="inlineStr">
        <is>
          <t>Annual token threshold reduction (to cap cash-entry growth)</t>
        </is>
      </c>
    </row>
    <row r="20">
      <c r="A20" s="7" t="inlineStr">
        <is>
          <t>Reduction %</t>
        </is>
      </c>
    </row>
    <row r="21" ht="15.75" customHeight="1" s="67">
      <c r="A21" s="18" t="n">
        <v>0.1</v>
      </c>
      <c r="H21" s="30" t="n"/>
      <c r="I21" s="30" t="n"/>
      <c r="J21" s="30" t="n"/>
    </row>
    <row r="22" ht="15.75" customHeight="1" s="67">
      <c r="H22" s="30" t="n"/>
      <c r="I22" s="30" t="n"/>
      <c r="J22" s="30" t="n"/>
    </row>
    <row r="23" ht="15.75" customHeight="1" s="67">
      <c r="A23" s="7" t="inlineStr">
        <is>
          <t>Pricing – Setup (one-off)</t>
        </is>
      </c>
      <c r="H23" s="30" t="n"/>
      <c r="I23" s="30" t="n"/>
      <c r="J23" s="30" t="n"/>
    </row>
    <row r="24" ht="15.75" customHeight="1" s="67">
      <c r="A24" s="7" t="inlineStr">
        <is>
          <t>Tier</t>
        </is>
      </c>
      <c r="B24" s="7" t="inlineStr">
        <is>
          <t>€ / client</t>
        </is>
      </c>
      <c r="H24" s="30" t="n"/>
      <c r="I24" s="30" t="n"/>
      <c r="J24" s="30" t="n"/>
    </row>
    <row r="25" ht="15.75" customHeight="1" s="67">
      <c r="A25" s="4" t="inlineStr">
        <is>
          <t>Starter</t>
        </is>
      </c>
      <c r="B25" s="33" t="n">
        <v>80000</v>
      </c>
    </row>
    <row r="26" ht="15.75" customHeight="1" s="67">
      <c r="A26" s="4" t="inlineStr">
        <is>
          <t>Growth</t>
        </is>
      </c>
      <c r="B26" s="33" t="n">
        <v>150000</v>
      </c>
    </row>
    <row r="27" ht="15.75" customHeight="1" s="67">
      <c r="A27" s="4" t="inlineStr">
        <is>
          <t>Scale</t>
        </is>
      </c>
      <c r="B27" s="33" t="n">
        <v>200000</v>
      </c>
    </row>
    <row r="28" ht="15.75" customHeight="1" s="67">
      <c r="A28" s="4" t="inlineStr">
        <is>
          <t>Enterprise</t>
        </is>
      </c>
      <c r="B28" s="33" t="n">
        <v>300000</v>
      </c>
    </row>
    <row r="29" ht="15.75" customHeight="1" s="67"/>
    <row r="30" ht="15.75" customHeight="1" s="67">
      <c r="A30" s="7" t="inlineStr">
        <is>
          <t>Pricing – Hosting (recurring per year)</t>
        </is>
      </c>
    </row>
    <row r="31" ht="15.75" customHeight="1" s="67">
      <c r="A31" s="7" t="inlineStr">
        <is>
          <t>Tier</t>
        </is>
      </c>
      <c r="B31" s="7" t="inlineStr">
        <is>
          <t>€ / client / year</t>
        </is>
      </c>
      <c r="D31" s="4" t="inlineStr">
        <is>
          <t xml:space="preserve">origine </t>
        </is>
      </c>
    </row>
    <row r="32" ht="15.75" customHeight="1" s="67">
      <c r="A32" s="4" t="inlineStr">
        <is>
          <t>Starter</t>
        </is>
      </c>
      <c r="B32" s="33">
        <f>3*12000</f>
        <v/>
      </c>
      <c r="D32" s="32" t="n">
        <v>18000</v>
      </c>
    </row>
    <row r="33" ht="15.75" customHeight="1" s="67">
      <c r="A33" s="4" t="inlineStr">
        <is>
          <t>Growth</t>
        </is>
      </c>
      <c r="B33" s="33" t="n">
        <v>60000</v>
      </c>
      <c r="D33" s="32" t="n">
        <v>24000</v>
      </c>
    </row>
    <row r="34" ht="15.75" customHeight="1" s="67">
      <c r="A34" s="4" t="inlineStr">
        <is>
          <t>Scale</t>
        </is>
      </c>
      <c r="B34" s="33" t="n">
        <v>84000</v>
      </c>
      <c r="D34" s="32" t="n">
        <v>36000</v>
      </c>
    </row>
    <row r="35" ht="15.75" customHeight="1" s="67">
      <c r="A35" s="4" t="inlineStr">
        <is>
          <t>Enterprise</t>
        </is>
      </c>
      <c r="B35" s="33">
        <f>10*12000</f>
        <v/>
      </c>
      <c r="D35" s="32" t="n">
        <v>60000</v>
      </c>
    </row>
    <row r="36" ht="15.75" customHeight="1" s="67"/>
    <row r="37" ht="15.75" customHeight="1" s="67">
      <c r="A37" s="7" t="inlineStr">
        <is>
          <t>Rental Rate Y1</t>
        </is>
      </c>
      <c r="B37" s="34" t="n">
        <v>1</v>
      </c>
    </row>
    <row r="38" ht="15.75" customHeight="1" s="67">
      <c r="A38" s="7" t="inlineStr">
        <is>
          <t>Rental Rate Yn</t>
        </is>
      </c>
      <c r="B38" s="34" t="n">
        <v>0.7</v>
      </c>
    </row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ColWidth="14.43" defaultRowHeight="15" customHeight="1"/>
  <cols>
    <col width="12.71" customWidth="1" style="67" min="1" max="1"/>
    <col width="8.710000000000001" customWidth="1" style="67" min="2" max="2"/>
    <col width="12.71" customWidth="1" style="67" min="3" max="3"/>
    <col width="20.71" customWidth="1" style="67" min="4" max="5"/>
    <col width="16.71" customWidth="1" style="67" min="6" max="6"/>
    <col width="24" customWidth="1" style="67" min="7" max="7"/>
    <col width="16.71" customWidth="1" style="67" min="8" max="8"/>
    <col width="14.71" customWidth="1" style="67" min="9" max="10"/>
    <col width="18.71" customWidth="1" style="67" min="11" max="15"/>
    <col width="15.43" customWidth="1" style="67" min="16" max="16"/>
    <col width="13.71" customWidth="1" style="67" min="17" max="17"/>
    <col width="8.859999999999999" customWidth="1" style="67" min="18" max="26"/>
  </cols>
  <sheetData>
    <row r="1">
      <c r="A1" s="1" t="inlineStr">
        <is>
          <t>Year 2026 – client inputs &amp; revenues</t>
        </is>
      </c>
    </row>
    <row r="2">
      <c r="A2" s="2" t="inlineStr">
        <is>
          <t>Enter new clients by Tier &amp; Mode. Hosting and Rentals includes carry-over (cumulative clients).</t>
        </is>
      </c>
      <c r="F2" s="3" t="n"/>
      <c r="G2" s="4" t="inlineStr">
        <is>
          <t>Cells to be changed</t>
        </is>
      </c>
    </row>
    <row r="4">
      <c r="A4" s="7" t="inlineStr">
        <is>
          <t>Tier</t>
        </is>
      </c>
      <c r="B4" s="7" t="inlineStr">
        <is>
          <t>Mode</t>
        </is>
      </c>
      <c r="C4" s="7" t="inlineStr">
        <is>
          <t>New Clients</t>
        </is>
      </c>
      <c r="D4" s="7" t="inlineStr">
        <is>
          <t>Setup €/client</t>
        </is>
      </c>
      <c r="E4" s="7" t="inlineStr">
        <is>
          <t>Hosting €/client/year</t>
        </is>
      </c>
      <c r="F4" s="7" t="inlineStr">
        <is>
          <t>Token €/unit</t>
        </is>
      </c>
      <c r="G4" s="7" t="inlineStr">
        <is>
          <t>Adjusted Tokens thresholds</t>
        </is>
      </c>
      <c r="H4" s="7" t="inlineStr">
        <is>
          <t>Stake €/client</t>
        </is>
      </c>
      <c r="I4" s="7" t="inlineStr">
        <is>
          <t>Rental Y1 %</t>
        </is>
      </c>
      <c r="J4" s="7" t="inlineStr">
        <is>
          <t>Rental Yn %</t>
        </is>
      </c>
      <c r="K4" s="7" t="inlineStr">
        <is>
          <t>Setup Revenue</t>
        </is>
      </c>
      <c r="L4" s="7" t="inlineStr">
        <is>
          <t>Hosting Revenue</t>
        </is>
      </c>
      <c r="M4" s="7" t="inlineStr">
        <is>
          <t>Rental Revenue Y1 New clients</t>
        </is>
      </c>
      <c r="N4" s="7" t="inlineStr">
        <is>
          <t>Total Rental Revenue</t>
        </is>
      </c>
      <c r="O4" s="7" t="inlineStr">
        <is>
          <t>Cumulative Clients</t>
        </is>
      </c>
      <c r="P4" s="7" t="inlineStr">
        <is>
          <t>Year summary</t>
        </is>
      </c>
    </row>
    <row r="5">
      <c r="A5" s="35" t="inlineStr">
        <is>
          <t>Starter</t>
        </is>
      </c>
      <c r="B5" s="35" t="inlineStr">
        <is>
          <t>Buy</t>
        </is>
      </c>
      <c r="C5" s="36" t="n">
        <v>3</v>
      </c>
      <c r="D5" s="37">
        <f>SetupStarter</f>
        <v/>
      </c>
      <c r="E5" s="37">
        <f>HostStarter</f>
        <v/>
      </c>
      <c r="F5" s="38">
        <f>TokenPrice2026</f>
        <v/>
      </c>
      <c r="G5" s="39">
        <f>StarterTokensInit</f>
        <v/>
      </c>
      <c r="H5" s="37">
        <f>F5*G5</f>
        <v/>
      </c>
      <c r="I5" s="40" t="n"/>
      <c r="J5" s="40" t="n"/>
      <c r="K5" s="37">
        <f>C5*D5</f>
        <v/>
      </c>
      <c r="L5" s="37">
        <f>O5*E5</f>
        <v/>
      </c>
      <c r="M5" s="37" t="n"/>
      <c r="N5" s="37" t="n"/>
      <c r="O5" s="41">
        <f>2+C5</f>
        <v/>
      </c>
      <c r="P5" s="7" t="inlineStr">
        <is>
          <t>Setup revenue</t>
        </is>
      </c>
      <c r="Q5" s="32">
        <f>K13</f>
        <v/>
      </c>
    </row>
    <row r="6">
      <c r="A6" s="35" t="inlineStr">
        <is>
          <t>Starter</t>
        </is>
      </c>
      <c r="B6" s="35" t="inlineStr">
        <is>
          <t>Rent</t>
        </is>
      </c>
      <c r="C6" s="36" t="n">
        <v>3</v>
      </c>
      <c r="D6" s="37">
        <f>SetupStarter</f>
        <v/>
      </c>
      <c r="E6" s="37">
        <f>HostStarter</f>
        <v/>
      </c>
      <c r="F6" s="38">
        <f>TokenPrice2026</f>
        <v/>
      </c>
      <c r="G6" s="39">
        <f>StarterTokensInit</f>
        <v/>
      </c>
      <c r="H6" s="37">
        <f>F6*G6</f>
        <v/>
      </c>
      <c r="I6" s="40">
        <f>RentalRateY1</f>
        <v/>
      </c>
      <c r="J6" s="40">
        <f>RentalRateYn</f>
        <v/>
      </c>
      <c r="K6" s="37">
        <f>C6*D6</f>
        <v/>
      </c>
      <c r="L6" s="37">
        <f>O6*E6</f>
        <v/>
      </c>
      <c r="M6" s="37">
        <f>C6*I6*H6</f>
        <v/>
      </c>
      <c r="N6" s="37">
        <f>M6+(J6*H6*(O6-C6))</f>
        <v/>
      </c>
      <c r="O6" s="41">
        <f>0+C6</f>
        <v/>
      </c>
      <c r="P6" s="7" t="inlineStr">
        <is>
          <t>Hosting revenue</t>
        </is>
      </c>
      <c r="Q6" s="32">
        <f>L13</f>
        <v/>
      </c>
      <c r="R6" s="42">
        <f>(Q7+Q6)/Q8</f>
        <v/>
      </c>
    </row>
    <row r="7">
      <c r="A7" s="4" t="inlineStr">
        <is>
          <t>Growth</t>
        </is>
      </c>
      <c r="B7" s="4" t="inlineStr">
        <is>
          <t>Buy</t>
        </is>
      </c>
      <c r="C7" s="36" t="n">
        <v>1</v>
      </c>
      <c r="D7" s="32">
        <f>SetupGrowth</f>
        <v/>
      </c>
      <c r="E7" s="32">
        <f>HostGrowth</f>
        <v/>
      </c>
      <c r="F7" s="43">
        <f>TokenPrice2026</f>
        <v/>
      </c>
      <c r="G7" s="28">
        <f>GrowthTokensInit</f>
        <v/>
      </c>
      <c r="H7" s="32">
        <f>F7*G7</f>
        <v/>
      </c>
      <c r="I7" s="18" t="n"/>
      <c r="J7" s="18" t="n"/>
      <c r="K7" s="32">
        <f>C7*D7</f>
        <v/>
      </c>
      <c r="L7" s="32">
        <f>O7*E7</f>
        <v/>
      </c>
      <c r="M7" s="32" t="n"/>
      <c r="N7" s="32" t="n"/>
      <c r="O7" s="44">
        <f>0+C7</f>
        <v/>
      </c>
      <c r="P7" s="7" t="inlineStr">
        <is>
          <t>Rental revenue</t>
        </is>
      </c>
      <c r="Q7" s="32">
        <f>N13</f>
        <v/>
      </c>
    </row>
    <row r="8">
      <c r="A8" s="4" t="inlineStr">
        <is>
          <t>Growth</t>
        </is>
      </c>
      <c r="B8" s="4" t="inlineStr">
        <is>
          <t>Rent</t>
        </is>
      </c>
      <c r="C8" s="36" t="n">
        <v>1</v>
      </c>
      <c r="D8" s="32">
        <f>SetupGrowth</f>
        <v/>
      </c>
      <c r="E8" s="32">
        <f>HostGrowth</f>
        <v/>
      </c>
      <c r="F8" s="43">
        <f>TokenPrice2026</f>
        <v/>
      </c>
      <c r="G8" s="28">
        <f>GrowthTokensInit</f>
        <v/>
      </c>
      <c r="H8" s="32">
        <f>F8*G8</f>
        <v/>
      </c>
      <c r="I8" s="18">
        <f>RentalRateY1</f>
        <v/>
      </c>
      <c r="J8" s="18">
        <f>RentalRateYn</f>
        <v/>
      </c>
      <c r="K8" s="32">
        <f>C8*D8</f>
        <v/>
      </c>
      <c r="L8" s="32">
        <f>O8*E8</f>
        <v/>
      </c>
      <c r="M8" s="32">
        <f>C8*I8*H8</f>
        <v/>
      </c>
      <c r="N8" s="32">
        <f>M8+(J8*H8*(O8-C8))</f>
        <v/>
      </c>
      <c r="O8" s="44">
        <f>0+C8</f>
        <v/>
      </c>
      <c r="P8" s="7" t="inlineStr">
        <is>
          <t>Total revenue</t>
        </is>
      </c>
      <c r="Q8" s="45">
        <f>SUM(Q5:Q7)</f>
        <v/>
      </c>
    </row>
    <row r="9">
      <c r="A9" s="46" t="inlineStr">
        <is>
          <t>Scale</t>
        </is>
      </c>
      <c r="B9" s="46" t="inlineStr">
        <is>
          <t>Buy</t>
        </is>
      </c>
      <c r="C9" s="36" t="n">
        <v>0</v>
      </c>
      <c r="D9" s="47">
        <f>SetupScale</f>
        <v/>
      </c>
      <c r="E9" s="47">
        <f>HostScale</f>
        <v/>
      </c>
      <c r="F9" s="48">
        <f>TokenPrice2026</f>
        <v/>
      </c>
      <c r="G9" s="49">
        <f>ScaleTokensInit</f>
        <v/>
      </c>
      <c r="H9" s="47">
        <f>F9*G9</f>
        <v/>
      </c>
      <c r="I9" s="50" t="n"/>
      <c r="J9" s="50" t="n"/>
      <c r="K9" s="47">
        <f>C9*D9</f>
        <v/>
      </c>
      <c r="L9" s="47">
        <f>O9*E9</f>
        <v/>
      </c>
      <c r="M9" s="47" t="n"/>
      <c r="N9" s="47" t="n"/>
      <c r="O9" s="51">
        <f>0+C9</f>
        <v/>
      </c>
    </row>
    <row r="10">
      <c r="A10" s="46" t="inlineStr">
        <is>
          <t>Scale</t>
        </is>
      </c>
      <c r="B10" s="46" t="inlineStr">
        <is>
          <t>Rent</t>
        </is>
      </c>
      <c r="C10" s="36" t="n">
        <v>1</v>
      </c>
      <c r="D10" s="47">
        <f>SetupScale</f>
        <v/>
      </c>
      <c r="E10" s="47">
        <f>HostScale</f>
        <v/>
      </c>
      <c r="F10" s="48">
        <f>TokenPrice2026</f>
        <v/>
      </c>
      <c r="G10" s="49">
        <f>ScaleTokensInit</f>
        <v/>
      </c>
      <c r="H10" s="47">
        <f>F10*G10</f>
        <v/>
      </c>
      <c r="I10" s="40">
        <f>RentalRateY1</f>
        <v/>
      </c>
      <c r="J10" s="40">
        <f>RentalRateYn</f>
        <v/>
      </c>
      <c r="K10" s="47">
        <f>C10*D10</f>
        <v/>
      </c>
      <c r="L10" s="47">
        <f>O10*E10</f>
        <v/>
      </c>
      <c r="M10" s="37">
        <f>C10*I10*H10</f>
        <v/>
      </c>
      <c r="N10" s="37">
        <f>M10+(J10*H10*(O10-C10))</f>
        <v/>
      </c>
      <c r="O10" s="51">
        <f>0+C10</f>
        <v/>
      </c>
    </row>
    <row r="11">
      <c r="A11" s="4" t="inlineStr">
        <is>
          <t>Enterprise</t>
        </is>
      </c>
      <c r="B11" s="4" t="inlineStr">
        <is>
          <t>Buy</t>
        </is>
      </c>
      <c r="C11" s="36" t="n">
        <v>0</v>
      </c>
      <c r="D11" s="32">
        <f>SetupEnterprise</f>
        <v/>
      </c>
      <c r="E11" s="32">
        <f>HostEnterprise</f>
        <v/>
      </c>
      <c r="F11" s="43">
        <f>TokenPrice2026</f>
        <v/>
      </c>
      <c r="G11" s="28">
        <f>EnterpriseTokensInit</f>
        <v/>
      </c>
      <c r="H11" s="32">
        <f>F11*G11</f>
        <v/>
      </c>
      <c r="I11" s="18" t="n"/>
      <c r="J11" s="18" t="n"/>
      <c r="K11" s="32">
        <f>C11*D11</f>
        <v/>
      </c>
      <c r="L11" s="32">
        <f>O11*E11</f>
        <v/>
      </c>
      <c r="M11" s="32" t="n"/>
      <c r="N11" s="32" t="n"/>
      <c r="O11" s="44">
        <f>0+C11</f>
        <v/>
      </c>
    </row>
    <row r="12">
      <c r="A12" s="4" t="inlineStr">
        <is>
          <t>Enterprise</t>
        </is>
      </c>
      <c r="B12" s="4" t="inlineStr">
        <is>
          <t>Rent</t>
        </is>
      </c>
      <c r="C12" s="36" t="n">
        <v>0</v>
      </c>
      <c r="D12" s="32">
        <f>SetupEnterprise</f>
        <v/>
      </c>
      <c r="E12" s="32">
        <f>HostEnterprise</f>
        <v/>
      </c>
      <c r="F12" s="43">
        <f>TokenPrice2026</f>
        <v/>
      </c>
      <c r="G12" s="28">
        <f>EnterpriseTokensInit</f>
        <v/>
      </c>
      <c r="H12" s="32">
        <f>F12*G12</f>
        <v/>
      </c>
      <c r="I12" s="18">
        <f>RentalRateY1</f>
        <v/>
      </c>
      <c r="J12" s="18">
        <f>RentalRateYn</f>
        <v/>
      </c>
      <c r="K12" s="32">
        <f>C12*D12</f>
        <v/>
      </c>
      <c r="L12" s="32">
        <f>O12*E12</f>
        <v/>
      </c>
      <c r="M12" s="32">
        <f>C12*I12*H12</f>
        <v/>
      </c>
      <c r="N12" s="32">
        <f>M12+(J12*H12*(O12-C12))</f>
        <v/>
      </c>
      <c r="O12" s="44">
        <f>0+C12</f>
        <v/>
      </c>
    </row>
    <row r="13">
      <c r="A13" s="7" t="inlineStr">
        <is>
          <t>TOTAL</t>
        </is>
      </c>
      <c r="C13" s="52">
        <f>SUM(C5:C12)</f>
        <v/>
      </c>
      <c r="K13" s="53">
        <f>SUM(K5:K12)</f>
        <v/>
      </c>
      <c r="L13" s="54">
        <f>SUM(L5:L12)</f>
        <v/>
      </c>
      <c r="M13" s="54" t="n"/>
      <c r="N13" s="55">
        <f>SUM(N5:N12)</f>
        <v/>
      </c>
      <c r="O13" s="52">
        <f>SUM(O5:O12)</f>
        <v/>
      </c>
    </row>
    <row r="14">
      <c r="G14" s="6" t="inlineStr">
        <is>
          <t>total injecté dans la pool</t>
        </is>
      </c>
      <c r="H14" s="56">
        <f>sum(H5:H12)</f>
        <v/>
      </c>
    </row>
    <row r="15">
      <c r="A15" s="4" t="inlineStr">
        <is>
          <t>Rental % clients</t>
        </is>
      </c>
      <c r="C15" s="18">
        <f>(C6+C8+C12+C10)/C13</f>
        <v/>
      </c>
    </row>
    <row r="17">
      <c r="A17" s="4" t="inlineStr">
        <is>
          <t>Nb of tokens for rental /New clients</t>
        </is>
      </c>
      <c r="C17" s="28">
        <f>G6*C6+G8*C8+G10*C10+G12*C12</f>
        <v/>
      </c>
    </row>
    <row r="18">
      <c r="A18" s="4" t="inlineStr">
        <is>
          <t>Cumulative Tokens for Rental</t>
        </is>
      </c>
      <c r="C18" s="28">
        <f>C17</f>
        <v/>
      </c>
    </row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">
    <mergeCell ref="R6:R7"/>
  </mergeCells>
  <dataValidations count="1">
    <dataValidation sqref="C5:C12" showDropDown="0" showInputMessage="0" showErrorMessage="1" allowBlank="1" type="decimal" operator="greaterThanOrEqual">
      <formula1>0.0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ColWidth="14.43" defaultRowHeight="15" customHeight="1"/>
  <cols>
    <col width="12.71" customWidth="1" style="67" min="1" max="1"/>
    <col width="8.710000000000001" customWidth="1" style="67" min="2" max="2"/>
    <col width="12.71" customWidth="1" style="67" min="3" max="3"/>
    <col width="20.71" customWidth="1" style="67" min="4" max="5"/>
    <col width="16.71" customWidth="1" style="67" min="6" max="8"/>
    <col width="14.71" customWidth="1" style="67" min="9" max="10"/>
    <col width="18.71" customWidth="1" style="67" min="11" max="15"/>
    <col width="8.859999999999999" customWidth="1" style="67" min="16" max="16"/>
    <col width="21" customWidth="1" style="67" min="17" max="17"/>
    <col width="8.859999999999999" customWidth="1" style="67" min="18" max="26"/>
  </cols>
  <sheetData>
    <row r="1">
      <c r="A1" s="1" t="inlineStr">
        <is>
          <t>Year 2027 – client inputs &amp; revenues</t>
        </is>
      </c>
    </row>
    <row r="2">
      <c r="A2" s="2" t="inlineStr">
        <is>
          <t>Enter new clients by Tier &amp; Mode. Hosting and Rentals includes carry-over (cumulative clients).</t>
        </is>
      </c>
      <c r="F2" s="3" t="n"/>
      <c r="G2" s="4" t="inlineStr">
        <is>
          <t>Cells to be changed</t>
        </is>
      </c>
    </row>
    <row r="4">
      <c r="A4" s="7" t="inlineStr">
        <is>
          <t>Tier</t>
        </is>
      </c>
      <c r="B4" s="7" t="inlineStr">
        <is>
          <t>Mode</t>
        </is>
      </c>
      <c r="C4" s="7" t="inlineStr">
        <is>
          <t>New Clients</t>
        </is>
      </c>
      <c r="D4" s="7" t="inlineStr">
        <is>
          <t>Setup €/client</t>
        </is>
      </c>
      <c r="E4" s="7" t="inlineStr">
        <is>
          <t>Hosting €/client/year</t>
        </is>
      </c>
      <c r="F4" s="7" t="inlineStr">
        <is>
          <t>Token €/unit</t>
        </is>
      </c>
      <c r="G4" s="7" t="inlineStr">
        <is>
          <t>Adjusted Tokens thresholds</t>
        </is>
      </c>
      <c r="H4" s="7" t="inlineStr">
        <is>
          <t>Stake €/client</t>
        </is>
      </c>
      <c r="I4" s="7" t="inlineStr">
        <is>
          <t>Rental Y1 %</t>
        </is>
      </c>
      <c r="J4" s="7" t="inlineStr">
        <is>
          <t>Rental Yn %</t>
        </is>
      </c>
      <c r="K4" s="7" t="inlineStr">
        <is>
          <t>Setup Revenue</t>
        </is>
      </c>
      <c r="L4" s="7" t="inlineStr">
        <is>
          <t>Hosting Revenue</t>
        </is>
      </c>
      <c r="M4" s="7" t="inlineStr">
        <is>
          <t>Rental Revenue Y1 New clients</t>
        </is>
      </c>
      <c r="N4" s="7" t="inlineStr">
        <is>
          <t>Total Rental Revenue</t>
        </is>
      </c>
      <c r="O4" s="7" t="inlineStr">
        <is>
          <t>Cumulative Clients</t>
        </is>
      </c>
      <c r="P4" s="7" t="inlineStr">
        <is>
          <t>Year summary</t>
        </is>
      </c>
    </row>
    <row r="5">
      <c r="A5" s="35" t="inlineStr">
        <is>
          <t>Starter</t>
        </is>
      </c>
      <c r="B5" s="35" t="inlineStr">
        <is>
          <t>Buy</t>
        </is>
      </c>
      <c r="C5" s="36" t="n">
        <v>5</v>
      </c>
      <c r="D5" s="37">
        <f>SetupStarter</f>
        <v/>
      </c>
      <c r="E5" s="37">
        <f>HostStarter</f>
        <v/>
      </c>
      <c r="F5" s="38">
        <f>TokenPrice2027</f>
        <v/>
      </c>
      <c r="G5" s="39">
        <f>StarterTokens2027</f>
        <v/>
      </c>
      <c r="H5" s="37">
        <f>F5*G5</f>
        <v/>
      </c>
      <c r="I5" s="40" t="n"/>
      <c r="J5" s="40" t="n"/>
      <c r="K5" s="37">
        <f>C5*D5</f>
        <v/>
      </c>
      <c r="L5" s="37">
        <f>O5*E5</f>
        <v/>
      </c>
      <c r="M5" s="37" t="n"/>
      <c r="N5" s="37" t="n"/>
      <c r="O5" s="41">
        <f>'2026'!$O$5+C5</f>
        <v/>
      </c>
      <c r="P5" s="7" t="inlineStr">
        <is>
          <t>Setup revenue</t>
        </is>
      </c>
      <c r="Q5" s="32">
        <f>K13</f>
        <v/>
      </c>
    </row>
    <row r="6">
      <c r="A6" s="35" t="inlineStr">
        <is>
          <t>Starter</t>
        </is>
      </c>
      <c r="B6" s="35" t="inlineStr">
        <is>
          <t>Rent</t>
        </is>
      </c>
      <c r="C6" s="36" t="n">
        <v>5</v>
      </c>
      <c r="D6" s="37">
        <f>SetupStarter</f>
        <v/>
      </c>
      <c r="E6" s="37">
        <f>HostStarter</f>
        <v/>
      </c>
      <c r="F6" s="38">
        <f>TokenPrice2027</f>
        <v/>
      </c>
      <c r="G6" s="39">
        <f>StarterTokens2027</f>
        <v/>
      </c>
      <c r="H6" s="37">
        <f>F6*G6</f>
        <v/>
      </c>
      <c r="I6" s="40">
        <f>RentalRateY1</f>
        <v/>
      </c>
      <c r="J6" s="40">
        <f>RentalRateYn</f>
        <v/>
      </c>
      <c r="K6" s="37">
        <f>C6*D6</f>
        <v/>
      </c>
      <c r="L6" s="37">
        <f>O6*E6</f>
        <v/>
      </c>
      <c r="M6" s="37">
        <f>C6*I6*H6</f>
        <v/>
      </c>
      <c r="N6" s="37">
        <f>M6+(J6*H6*(O6-C6))</f>
        <v/>
      </c>
      <c r="O6" s="41">
        <f>'2026'!$O$6+C6</f>
        <v/>
      </c>
      <c r="P6" s="7" t="inlineStr">
        <is>
          <t>Hosting revenue</t>
        </is>
      </c>
      <c r="Q6" s="32">
        <f>L13</f>
        <v/>
      </c>
      <c r="R6" s="42">
        <f>(Q7+Q6)/Q8</f>
        <v/>
      </c>
    </row>
    <row r="7">
      <c r="A7" s="4" t="inlineStr">
        <is>
          <t>Growth</t>
        </is>
      </c>
      <c r="B7" s="4" t="inlineStr">
        <is>
          <t>Buy</t>
        </is>
      </c>
      <c r="C7" s="36" t="n">
        <v>3</v>
      </c>
      <c r="D7" s="32">
        <f>SetupGrowth</f>
        <v/>
      </c>
      <c r="E7" s="32">
        <f>HostGrowth</f>
        <v/>
      </c>
      <c r="F7" s="43">
        <f>TokenPrice2027</f>
        <v/>
      </c>
      <c r="G7" s="28">
        <f t="array" ref="G7">GrowthTokens2027</f>
        <v/>
      </c>
      <c r="H7" s="32">
        <f>F7*G7</f>
        <v/>
      </c>
      <c r="I7" s="18" t="n"/>
      <c r="J7" s="18" t="n"/>
      <c r="K7" s="32">
        <f>C7*D7</f>
        <v/>
      </c>
      <c r="L7" s="32">
        <f>O7*E7</f>
        <v/>
      </c>
      <c r="M7" s="32" t="n"/>
      <c r="N7" s="32" t="n"/>
      <c r="O7" s="44">
        <f>'2026'!$O$7+C7</f>
        <v/>
      </c>
      <c r="P7" s="7" t="inlineStr">
        <is>
          <t>Rental revenue</t>
        </is>
      </c>
      <c r="Q7" s="32">
        <f>N13</f>
        <v/>
      </c>
    </row>
    <row r="8">
      <c r="A8" s="4" t="inlineStr">
        <is>
          <t>Growth</t>
        </is>
      </c>
      <c r="B8" s="4" t="inlineStr">
        <is>
          <t>Rent</t>
        </is>
      </c>
      <c r="C8" s="36" t="n">
        <v>3</v>
      </c>
      <c r="D8" s="32">
        <f>SetupGrowth</f>
        <v/>
      </c>
      <c r="E8" s="32">
        <f>HostGrowth</f>
        <v/>
      </c>
      <c r="F8" s="43">
        <f>TokenPrice2027</f>
        <v/>
      </c>
      <c r="G8" s="28">
        <f t="array" ref="G8">GrowthTokens2027</f>
        <v/>
      </c>
      <c r="H8" s="32">
        <f>F8*G8</f>
        <v/>
      </c>
      <c r="I8" s="18">
        <f>RentalRateY1</f>
        <v/>
      </c>
      <c r="J8" s="18">
        <f>RentalRateYn</f>
        <v/>
      </c>
      <c r="K8" s="32">
        <f>C8*D8</f>
        <v/>
      </c>
      <c r="L8" s="32">
        <f>O8*E8</f>
        <v/>
      </c>
      <c r="M8" s="32">
        <f>C8*I8*H8</f>
        <v/>
      </c>
      <c r="N8" s="32">
        <f>M8+(J8*H8*(O8-C8))</f>
        <v/>
      </c>
      <c r="O8" s="44">
        <f>'2026'!$O$8+C8</f>
        <v/>
      </c>
      <c r="P8" s="7" t="inlineStr">
        <is>
          <t>Total revenue</t>
        </is>
      </c>
      <c r="Q8" s="57">
        <f>SUM(Q5:Q7)</f>
        <v/>
      </c>
    </row>
    <row r="9">
      <c r="A9" s="46" t="inlineStr">
        <is>
          <t>Scale</t>
        </is>
      </c>
      <c r="B9" s="46" t="inlineStr">
        <is>
          <t>Buy</t>
        </is>
      </c>
      <c r="C9" s="36" t="n">
        <v>1</v>
      </c>
      <c r="D9" s="47">
        <f>SetupScale</f>
        <v/>
      </c>
      <c r="E9" s="47">
        <f>HostScale</f>
        <v/>
      </c>
      <c r="F9" s="48">
        <f>TokenPrice2027</f>
        <v/>
      </c>
      <c r="G9" s="49">
        <f>ScaleTokens2027</f>
        <v/>
      </c>
      <c r="H9" s="47">
        <f>F9*G9</f>
        <v/>
      </c>
      <c r="I9" s="50" t="n"/>
      <c r="J9" s="50" t="n"/>
      <c r="K9" s="47">
        <f>C9*D9</f>
        <v/>
      </c>
      <c r="L9" s="47">
        <f>O9*E9</f>
        <v/>
      </c>
      <c r="M9" s="47" t="n"/>
      <c r="N9" s="47" t="n"/>
      <c r="O9" s="51">
        <f>'2026'!$O$9+C9</f>
        <v/>
      </c>
    </row>
    <row r="10">
      <c r="A10" s="46" t="inlineStr">
        <is>
          <t>Scale</t>
        </is>
      </c>
      <c r="B10" s="46" t="inlineStr">
        <is>
          <t>Rent</t>
        </is>
      </c>
      <c r="C10" s="36" t="n">
        <v>2</v>
      </c>
      <c r="D10" s="47">
        <f>SetupScale</f>
        <v/>
      </c>
      <c r="E10" s="47">
        <f>HostScale</f>
        <v/>
      </c>
      <c r="F10" s="48">
        <f>TokenPrice2027</f>
        <v/>
      </c>
      <c r="G10" s="49">
        <f>ScaleTokens2027</f>
        <v/>
      </c>
      <c r="H10" s="47">
        <f>F10*G10</f>
        <v/>
      </c>
      <c r="I10" s="40">
        <f>RentalRateY1</f>
        <v/>
      </c>
      <c r="J10" s="40">
        <f>RentalRateYn</f>
        <v/>
      </c>
      <c r="K10" s="47">
        <f>C10*D10</f>
        <v/>
      </c>
      <c r="L10" s="47">
        <f>O10*E10</f>
        <v/>
      </c>
      <c r="M10" s="37">
        <f>C10*I10*H10</f>
        <v/>
      </c>
      <c r="N10" s="37">
        <f>M10+(J10*H10*(O10-C10))</f>
        <v/>
      </c>
      <c r="O10" s="51">
        <f>'2026'!$O$10+C10</f>
        <v/>
      </c>
    </row>
    <row r="11">
      <c r="A11" s="4" t="inlineStr">
        <is>
          <t>Enterprise</t>
        </is>
      </c>
      <c r="B11" s="4" t="inlineStr">
        <is>
          <t>Buy</t>
        </is>
      </c>
      <c r="C11" s="36" t="n">
        <v>0</v>
      </c>
      <c r="D11" s="32">
        <f>SetupEnterprise</f>
        <v/>
      </c>
      <c r="E11" s="32">
        <f>HostEnterprise</f>
        <v/>
      </c>
      <c r="F11" s="43">
        <f>TokenPrice2027</f>
        <v/>
      </c>
      <c r="G11" s="28">
        <f>EnterpriseTokens2027</f>
        <v/>
      </c>
      <c r="H11" s="32">
        <f>F11*G11</f>
        <v/>
      </c>
      <c r="I11" s="18" t="n"/>
      <c r="J11" s="18" t="n"/>
      <c r="K11" s="32">
        <f>C11*D11</f>
        <v/>
      </c>
      <c r="L11" s="32">
        <f>O11*E11</f>
        <v/>
      </c>
      <c r="M11" s="32" t="n"/>
      <c r="N11" s="32" t="n"/>
      <c r="O11" s="44">
        <f>'2026'!$O$11+C11</f>
        <v/>
      </c>
    </row>
    <row r="12">
      <c r="A12" s="4" t="inlineStr">
        <is>
          <t>Enterprise</t>
        </is>
      </c>
      <c r="B12" s="4" t="inlineStr">
        <is>
          <t>Rent</t>
        </is>
      </c>
      <c r="C12" s="36" t="n">
        <v>1</v>
      </c>
      <c r="D12" s="32">
        <f>SetupEnterprise</f>
        <v/>
      </c>
      <c r="E12" s="32">
        <f>HostEnterprise</f>
        <v/>
      </c>
      <c r="F12" s="43">
        <f>TokenPrice2027</f>
        <v/>
      </c>
      <c r="G12" s="28">
        <f>EnterpriseTokens2027</f>
        <v/>
      </c>
      <c r="H12" s="32">
        <f>F12*G12</f>
        <v/>
      </c>
      <c r="I12" s="18">
        <f>RentalRateY1</f>
        <v/>
      </c>
      <c r="J12" s="18">
        <f>RentalRateYn</f>
        <v/>
      </c>
      <c r="K12" s="32">
        <f>C12*D12</f>
        <v/>
      </c>
      <c r="L12" s="32">
        <f>O12*E12</f>
        <v/>
      </c>
      <c r="M12" s="32">
        <f>C12*I12*H12</f>
        <v/>
      </c>
      <c r="N12" s="32">
        <f>M12+(J12*H12*(O12-C12))</f>
        <v/>
      </c>
      <c r="O12" s="44">
        <f>'2026'!$O$12+C12</f>
        <v/>
      </c>
    </row>
    <row r="13">
      <c r="A13" s="7" t="inlineStr">
        <is>
          <t>TOTAL</t>
        </is>
      </c>
      <c r="C13" s="58">
        <f>SUM(C5:C12)</f>
        <v/>
      </c>
      <c r="K13" s="59">
        <f>SUM(K5:K12)</f>
        <v/>
      </c>
      <c r="L13" s="60">
        <f>SUM(L5:L12)</f>
        <v/>
      </c>
      <c r="M13" s="60" t="n"/>
      <c r="N13" s="61">
        <f>SUM(N5:N12)</f>
        <v/>
      </c>
      <c r="O13" s="58">
        <f>SUM(O5:O12)</f>
        <v/>
      </c>
    </row>
    <row r="14">
      <c r="G14" s="6" t="inlineStr">
        <is>
          <t>total injecté dans la pool</t>
        </is>
      </c>
      <c r="H14" s="56">
        <f>sum(H5:H12)</f>
        <v/>
      </c>
    </row>
    <row r="15">
      <c r="A15" s="4" t="inlineStr">
        <is>
          <t>Rental % clients</t>
        </is>
      </c>
      <c r="C15" s="18">
        <f>(C6+C8+C12+C10)/C13</f>
        <v/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>
        <f>(O6+O8+O12+O10)/O13</f>
        <v/>
      </c>
    </row>
    <row r="17">
      <c r="A17" s="4" t="inlineStr">
        <is>
          <t>Nb of tokens for rental /New clients</t>
        </is>
      </c>
      <c r="C17" s="28">
        <f>G6*C6+G8*C8+G10*C10+G12*C12</f>
        <v/>
      </c>
    </row>
    <row r="18">
      <c r="A18" s="4" t="inlineStr">
        <is>
          <t>Cumulative Tokens for Rental</t>
        </is>
      </c>
      <c r="C18" s="28">
        <f>C17+'2026'!C18</f>
        <v/>
      </c>
    </row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">
    <mergeCell ref="R6:R7"/>
  </mergeCells>
  <dataValidations count="1">
    <dataValidation sqref="C5:C12" showDropDown="0" showInputMessage="0" showErrorMessage="1" allowBlank="1" type="decimal" operator="greaterThanOrEqual">
      <formula1>0.0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ColWidth="14.43" defaultRowHeight="15" customHeight="1"/>
  <cols>
    <col width="12.71" customWidth="1" style="67" min="1" max="1"/>
    <col width="8.710000000000001" customWidth="1" style="67" min="2" max="2"/>
    <col width="12.71" customWidth="1" style="67" min="3" max="3"/>
    <col width="20.71" customWidth="1" style="67" min="4" max="5"/>
    <col width="16.71" customWidth="1" style="67" min="6" max="8"/>
    <col width="14.71" customWidth="1" style="67" min="9" max="10"/>
    <col width="18.71" customWidth="1" style="67" min="11" max="15"/>
    <col width="8.859999999999999" customWidth="1" style="67" min="16" max="16"/>
    <col width="11.86" customWidth="1" style="67" min="17" max="17"/>
    <col width="8.859999999999999" customWidth="1" style="67" min="18" max="26"/>
  </cols>
  <sheetData>
    <row r="1">
      <c r="A1" s="1" t="inlineStr">
        <is>
          <t>Year 2028 – client inputs &amp; revenues</t>
        </is>
      </c>
    </row>
    <row r="2">
      <c r="A2" s="2" t="inlineStr">
        <is>
          <t>Enter new clients by Tier &amp; Mode. Hosting and Rentals includes carry-over (cumulative clients).</t>
        </is>
      </c>
      <c r="F2" s="3" t="n"/>
      <c r="G2" s="4" t="inlineStr">
        <is>
          <t>Cells to be changed</t>
        </is>
      </c>
    </row>
    <row r="4">
      <c r="A4" s="7" t="inlineStr">
        <is>
          <t>Tier</t>
        </is>
      </c>
      <c r="B4" s="7" t="inlineStr">
        <is>
          <t>Mode</t>
        </is>
      </c>
      <c r="C4" s="7" t="inlineStr">
        <is>
          <t>New Clients</t>
        </is>
      </c>
      <c r="D4" s="7" t="inlineStr">
        <is>
          <t>Setup €/client</t>
        </is>
      </c>
      <c r="E4" s="7" t="inlineStr">
        <is>
          <t>Hosting €/client/year</t>
        </is>
      </c>
      <c r="F4" s="7" t="inlineStr">
        <is>
          <t>Token €/unit</t>
        </is>
      </c>
      <c r="G4" s="7" t="inlineStr">
        <is>
          <t>Adjusted Tokens thresholds</t>
        </is>
      </c>
      <c r="H4" s="7" t="inlineStr">
        <is>
          <t>Stake €/client</t>
        </is>
      </c>
      <c r="I4" s="7" t="inlineStr">
        <is>
          <t>Rental Y1 %</t>
        </is>
      </c>
      <c r="J4" s="7" t="inlineStr">
        <is>
          <t>Rental Yn %</t>
        </is>
      </c>
      <c r="K4" s="7" t="inlineStr">
        <is>
          <t>Setup Revenue</t>
        </is>
      </c>
      <c r="L4" s="7" t="inlineStr">
        <is>
          <t>Hosting Revenue</t>
        </is>
      </c>
      <c r="M4" s="7" t="inlineStr">
        <is>
          <t>Rental Revenue Y1 New clients</t>
        </is>
      </c>
      <c r="N4" s="7" t="inlineStr">
        <is>
          <t>Total Rental Revenue</t>
        </is>
      </c>
      <c r="O4" s="7" t="inlineStr">
        <is>
          <t>Cumulative Clients</t>
        </is>
      </c>
      <c r="P4" s="7" t="inlineStr">
        <is>
          <t>Year summary</t>
        </is>
      </c>
    </row>
    <row r="5">
      <c r="A5" s="35" t="inlineStr">
        <is>
          <t>Starter</t>
        </is>
      </c>
      <c r="B5" s="35" t="inlineStr">
        <is>
          <t>Buy</t>
        </is>
      </c>
      <c r="C5" s="36" t="n">
        <v>10</v>
      </c>
      <c r="D5" s="37">
        <f>SetupStarter</f>
        <v/>
      </c>
      <c r="E5" s="37">
        <f>HostStarter</f>
        <v/>
      </c>
      <c r="F5" s="38">
        <f>TokenPrice2028</f>
        <v/>
      </c>
      <c r="G5" s="39">
        <f>StarterTokens2028</f>
        <v/>
      </c>
      <c r="H5" s="37">
        <f>F5*G5</f>
        <v/>
      </c>
      <c r="I5" s="40" t="n"/>
      <c r="J5" s="40" t="n"/>
      <c r="K5" s="37">
        <f>C5*D5</f>
        <v/>
      </c>
      <c r="L5" s="37">
        <f>O5*E5</f>
        <v/>
      </c>
      <c r="M5" s="37" t="n"/>
      <c r="N5" s="37" t="n"/>
      <c r="O5" s="41">
        <f>'2027'!$O$5+C5</f>
        <v/>
      </c>
      <c r="P5" s="7" t="inlineStr">
        <is>
          <t>Setup revenue</t>
        </is>
      </c>
      <c r="Q5" s="32">
        <f>K13</f>
        <v/>
      </c>
    </row>
    <row r="6">
      <c r="A6" s="35" t="inlineStr">
        <is>
          <t>Starter</t>
        </is>
      </c>
      <c r="B6" s="35" t="inlineStr">
        <is>
          <t>Rent</t>
        </is>
      </c>
      <c r="C6" s="36" t="n">
        <v>10</v>
      </c>
      <c r="D6" s="37">
        <f>SetupStarter</f>
        <v/>
      </c>
      <c r="E6" s="37">
        <f>HostStarter</f>
        <v/>
      </c>
      <c r="F6" s="38">
        <f>TokenPrice2028</f>
        <v/>
      </c>
      <c r="G6" s="39">
        <f>StarterTokens2028</f>
        <v/>
      </c>
      <c r="H6" s="37">
        <f>F6*G6</f>
        <v/>
      </c>
      <c r="I6" s="40">
        <f>RentalRateY1</f>
        <v/>
      </c>
      <c r="J6" s="40">
        <f>RentalRateYn</f>
        <v/>
      </c>
      <c r="K6" s="37">
        <f>C6*D6</f>
        <v/>
      </c>
      <c r="L6" s="37">
        <f>O6*E6</f>
        <v/>
      </c>
      <c r="M6" s="37">
        <f>C6*I6*H6</f>
        <v/>
      </c>
      <c r="N6" s="37">
        <f>M6+(J6*H6*(O6-C6))</f>
        <v/>
      </c>
      <c r="O6" s="41">
        <f>'2027'!$O$6+C6</f>
        <v/>
      </c>
      <c r="P6" s="7" t="inlineStr">
        <is>
          <t>Hosting revenue</t>
        </is>
      </c>
      <c r="Q6" s="32">
        <f>L13</f>
        <v/>
      </c>
      <c r="R6" s="42">
        <f>(Q7+Q6)/Q8</f>
        <v/>
      </c>
    </row>
    <row r="7">
      <c r="A7" s="4" t="inlineStr">
        <is>
          <t>Growth</t>
        </is>
      </c>
      <c r="B7" s="4" t="inlineStr">
        <is>
          <t>Buy</t>
        </is>
      </c>
      <c r="C7" s="36" t="n">
        <v>5</v>
      </c>
      <c r="D7" s="32">
        <f>SetupGrowth</f>
        <v/>
      </c>
      <c r="E7" s="32">
        <f>HostGrowth</f>
        <v/>
      </c>
      <c r="F7" s="43">
        <f>TokenPrice2028</f>
        <v/>
      </c>
      <c r="G7" s="28">
        <f>GrowthTokens2028</f>
        <v/>
      </c>
      <c r="H7" s="32">
        <f>F7*G7</f>
        <v/>
      </c>
      <c r="I7" s="18" t="n"/>
      <c r="J7" s="18" t="n"/>
      <c r="K7" s="32">
        <f>C7*D7</f>
        <v/>
      </c>
      <c r="L7" s="32">
        <f>O7*E7</f>
        <v/>
      </c>
      <c r="M7" s="32" t="n"/>
      <c r="N7" s="32" t="n"/>
      <c r="O7" s="44">
        <f>'2027'!$O$7+C7</f>
        <v/>
      </c>
      <c r="P7" s="7" t="inlineStr">
        <is>
          <t>Rental revenue</t>
        </is>
      </c>
      <c r="Q7" s="32">
        <f>N13</f>
        <v/>
      </c>
    </row>
    <row r="8">
      <c r="A8" s="4" t="inlineStr">
        <is>
          <t>Growth</t>
        </is>
      </c>
      <c r="B8" s="4" t="inlineStr">
        <is>
          <t>Rent</t>
        </is>
      </c>
      <c r="C8" s="36" t="n">
        <v>5</v>
      </c>
      <c r="D8" s="32">
        <f>SetupGrowth</f>
        <v/>
      </c>
      <c r="E8" s="32">
        <f>HostGrowth</f>
        <v/>
      </c>
      <c r="F8" s="43">
        <f>TokenPrice2028</f>
        <v/>
      </c>
      <c r="G8" s="28">
        <f>GrowthTokens2028</f>
        <v/>
      </c>
      <c r="H8" s="32">
        <f>F8*G8</f>
        <v/>
      </c>
      <c r="I8" s="18">
        <f>RentalRateY1</f>
        <v/>
      </c>
      <c r="J8" s="18">
        <f>RentalRateYn</f>
        <v/>
      </c>
      <c r="K8" s="32">
        <f>C8*D8</f>
        <v/>
      </c>
      <c r="L8" s="32">
        <f>O8*E8</f>
        <v/>
      </c>
      <c r="M8" s="32">
        <f>C8*I8*H8</f>
        <v/>
      </c>
      <c r="N8" s="32">
        <f>M8+(J8*H8*(O8-C8))</f>
        <v/>
      </c>
      <c r="O8" s="44">
        <f>'2027'!$O$8+C8</f>
        <v/>
      </c>
      <c r="P8" s="7" t="inlineStr">
        <is>
          <t>Total revenue</t>
        </is>
      </c>
      <c r="Q8" s="57">
        <f>SUM(Q5:Q7)</f>
        <v/>
      </c>
    </row>
    <row r="9">
      <c r="A9" s="46" t="inlineStr">
        <is>
          <t>Scale</t>
        </is>
      </c>
      <c r="B9" s="46" t="inlineStr">
        <is>
          <t>Buy</t>
        </is>
      </c>
      <c r="C9" s="36" t="n">
        <v>2</v>
      </c>
      <c r="D9" s="47">
        <f>SetupScale</f>
        <v/>
      </c>
      <c r="E9" s="47">
        <f>HostScale</f>
        <v/>
      </c>
      <c r="F9" s="48">
        <f>TokenPrice2028</f>
        <v/>
      </c>
      <c r="G9" s="49">
        <f>ScaleTokens2028</f>
        <v/>
      </c>
      <c r="H9" s="47">
        <f>F9*G9</f>
        <v/>
      </c>
      <c r="I9" s="50" t="n"/>
      <c r="J9" s="50" t="n"/>
      <c r="K9" s="47">
        <f>C9*D9</f>
        <v/>
      </c>
      <c r="L9" s="47">
        <f>O9*E9</f>
        <v/>
      </c>
      <c r="M9" s="47" t="n"/>
      <c r="N9" s="47" t="n"/>
      <c r="O9" s="51">
        <f>'2027'!$O$9+C9</f>
        <v/>
      </c>
    </row>
    <row r="10">
      <c r="A10" s="46" t="inlineStr">
        <is>
          <t>Scale</t>
        </is>
      </c>
      <c r="B10" s="46" t="inlineStr">
        <is>
          <t>Rent</t>
        </is>
      </c>
      <c r="C10" s="36" t="n">
        <v>4</v>
      </c>
      <c r="D10" s="47">
        <f>SetupScale</f>
        <v/>
      </c>
      <c r="E10" s="47">
        <f>HostScale</f>
        <v/>
      </c>
      <c r="F10" s="48">
        <f>TokenPrice2028</f>
        <v/>
      </c>
      <c r="G10" s="49">
        <f>ScaleTokens2028</f>
        <v/>
      </c>
      <c r="H10" s="47">
        <f>F10*G10</f>
        <v/>
      </c>
      <c r="I10" s="40">
        <f>RentalRateY1</f>
        <v/>
      </c>
      <c r="J10" s="40">
        <f>RentalRateYn</f>
        <v/>
      </c>
      <c r="K10" s="47">
        <f>C10*D10</f>
        <v/>
      </c>
      <c r="L10" s="47">
        <f>O10*E10</f>
        <v/>
      </c>
      <c r="M10" s="37">
        <f>C10*I10*H10</f>
        <v/>
      </c>
      <c r="N10" s="37">
        <f>M10+(J10*H10*(O10-C10))</f>
        <v/>
      </c>
      <c r="O10" s="51">
        <f>'2027'!$O$10+C10</f>
        <v/>
      </c>
    </row>
    <row r="11">
      <c r="A11" s="4" t="inlineStr">
        <is>
          <t>Enterprise</t>
        </is>
      </c>
      <c r="B11" s="4" t="inlineStr">
        <is>
          <t>Buy</t>
        </is>
      </c>
      <c r="C11" s="36" t="n">
        <v>2</v>
      </c>
      <c r="D11" s="32">
        <f>SetupEnterprise</f>
        <v/>
      </c>
      <c r="E11" s="32">
        <f>HostEnterprise</f>
        <v/>
      </c>
      <c r="F11" s="43">
        <f>TokenPrice2028</f>
        <v/>
      </c>
      <c r="G11" s="28">
        <f>EnterpriseTokens2028</f>
        <v/>
      </c>
      <c r="H11" s="32">
        <f>F11*G11</f>
        <v/>
      </c>
      <c r="I11" s="18" t="n"/>
      <c r="J11" s="18" t="n"/>
      <c r="K11" s="32">
        <f>C11*D11</f>
        <v/>
      </c>
      <c r="L11" s="32">
        <f>O11*E11</f>
        <v/>
      </c>
      <c r="M11" s="32" t="n"/>
      <c r="N11" s="32" t="n"/>
      <c r="O11" s="44">
        <f>'2027'!$O$11+C11</f>
        <v/>
      </c>
    </row>
    <row r="12">
      <c r="A12" s="4" t="inlineStr">
        <is>
          <t>Enterprise</t>
        </is>
      </c>
      <c r="B12" s="4" t="inlineStr">
        <is>
          <t>Rent</t>
        </is>
      </c>
      <c r="C12" s="36" t="n">
        <v>2</v>
      </c>
      <c r="D12" s="32">
        <f>SetupEnterprise</f>
        <v/>
      </c>
      <c r="E12" s="32">
        <f>HostEnterprise</f>
        <v/>
      </c>
      <c r="F12" s="43">
        <f>TokenPrice2028</f>
        <v/>
      </c>
      <c r="G12" s="28">
        <f>EnterpriseTokens2028</f>
        <v/>
      </c>
      <c r="H12" s="32">
        <f>F12*G12</f>
        <v/>
      </c>
      <c r="I12" s="18">
        <f>RentalRateY1</f>
        <v/>
      </c>
      <c r="J12" s="18">
        <f>RentalRateYn</f>
        <v/>
      </c>
      <c r="K12" s="32">
        <f>C12*D12</f>
        <v/>
      </c>
      <c r="L12" s="32">
        <f>O12*E12</f>
        <v/>
      </c>
      <c r="M12" s="32">
        <f>C12*I12*H12</f>
        <v/>
      </c>
      <c r="N12" s="32">
        <f>M12+(J12*H12*(O12-C12))</f>
        <v/>
      </c>
      <c r="O12" s="44">
        <f>'2027'!$O$12+C12</f>
        <v/>
      </c>
    </row>
    <row r="13">
      <c r="A13" s="7" t="inlineStr">
        <is>
          <t>TOTAL</t>
        </is>
      </c>
      <c r="C13" s="58">
        <f>SUM(C5:C12)</f>
        <v/>
      </c>
      <c r="K13" s="59">
        <f>SUM(K5:K12)</f>
        <v/>
      </c>
      <c r="L13" s="60">
        <f>SUM(L5:L12)</f>
        <v/>
      </c>
      <c r="M13" s="60" t="n"/>
      <c r="N13" s="61">
        <f>SUM(N5:N12)</f>
        <v/>
      </c>
      <c r="O13" s="58">
        <f>SUM(O5:O12)</f>
        <v/>
      </c>
    </row>
    <row r="14">
      <c r="G14" s="6" t="inlineStr">
        <is>
          <t>total injecté dans la pool</t>
        </is>
      </c>
      <c r="H14" s="56">
        <f>sum(H5:H12)</f>
        <v/>
      </c>
    </row>
    <row r="15">
      <c r="A15" s="4" t="inlineStr">
        <is>
          <t>Rental % clients</t>
        </is>
      </c>
      <c r="C15" s="18">
        <f>(C6+C8+C12+C10)/C13</f>
        <v/>
      </c>
    </row>
    <row r="17">
      <c r="A17" s="4" t="inlineStr">
        <is>
          <t>Nb of tokens for rental /New clients</t>
        </is>
      </c>
      <c r="C17" s="28">
        <f>G6*C6+G8*C8+G10*C10+G12*C12</f>
        <v/>
      </c>
    </row>
    <row r="18">
      <c r="A18" s="4" t="inlineStr">
        <is>
          <t>Cumulative Tokens for Rental</t>
        </is>
      </c>
      <c r="C18" s="28">
        <f>C17+'2027'!C18</f>
        <v/>
      </c>
    </row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">
    <mergeCell ref="R6:R7"/>
  </mergeCells>
  <dataValidations count="1">
    <dataValidation sqref="C5:C12" showDropDown="0" showInputMessage="0" showErrorMessage="1" allowBlank="1" type="decimal" operator="greaterThanOrEqual">
      <formula1>0.0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ColWidth="14.43" defaultRowHeight="15" customHeight="1"/>
  <cols>
    <col width="12.71" customWidth="1" style="67" min="1" max="1"/>
    <col width="8.710000000000001" customWidth="1" style="67" min="2" max="2"/>
    <col width="12.71" customWidth="1" style="67" min="3" max="3"/>
    <col width="20.71" customWidth="1" style="67" min="4" max="5"/>
    <col width="16.71" customWidth="1" style="67" min="6" max="8"/>
    <col width="14.71" customWidth="1" style="67" min="9" max="10"/>
    <col width="18.71" customWidth="1" style="67" min="11" max="15"/>
    <col width="8.859999999999999" customWidth="1" style="67" min="16" max="16"/>
    <col width="15.86" customWidth="1" style="67" min="17" max="17"/>
    <col width="8.859999999999999" customWidth="1" style="67" min="18" max="26"/>
  </cols>
  <sheetData>
    <row r="1">
      <c r="A1" s="1" t="inlineStr">
        <is>
          <t>Year 2029 – client inputs &amp; revenues</t>
        </is>
      </c>
    </row>
    <row r="2">
      <c r="A2" s="2" t="inlineStr">
        <is>
          <t>Enter new clients by Tier &amp; Mode. Hosting and Rentals includes carry-over (cumulative clients).</t>
        </is>
      </c>
      <c r="F2" s="3" t="n"/>
      <c r="G2" s="4" t="inlineStr">
        <is>
          <t>Cells to be changed</t>
        </is>
      </c>
    </row>
    <row r="4">
      <c r="A4" s="7" t="inlineStr">
        <is>
          <t>Tier</t>
        </is>
      </c>
      <c r="B4" s="7" t="inlineStr">
        <is>
          <t>Mode</t>
        </is>
      </c>
      <c r="C4" s="7" t="inlineStr">
        <is>
          <t>New Clients</t>
        </is>
      </c>
      <c r="D4" s="7" t="inlineStr">
        <is>
          <t>Setup €/client</t>
        </is>
      </c>
      <c r="E4" s="7" t="inlineStr">
        <is>
          <t>Hosting €/client/year</t>
        </is>
      </c>
      <c r="F4" s="7" t="inlineStr">
        <is>
          <t>Token €/unit</t>
        </is>
      </c>
      <c r="G4" s="7" t="inlineStr">
        <is>
          <t>Adjusted Tokens thresholds</t>
        </is>
      </c>
      <c r="H4" s="7" t="inlineStr">
        <is>
          <t>Stake €/client</t>
        </is>
      </c>
      <c r="I4" s="7" t="inlineStr">
        <is>
          <t>Rental Y1 %</t>
        </is>
      </c>
      <c r="J4" s="7" t="inlineStr">
        <is>
          <t>Rental Yn %</t>
        </is>
      </c>
      <c r="K4" s="7" t="inlineStr">
        <is>
          <t>Setup Revenue</t>
        </is>
      </c>
      <c r="L4" s="7" t="inlineStr">
        <is>
          <t>Hosting Revenue</t>
        </is>
      </c>
      <c r="M4" s="7" t="inlineStr">
        <is>
          <t>Rental Revenue Y1 New clients</t>
        </is>
      </c>
      <c r="N4" s="7" t="inlineStr">
        <is>
          <t>Total Rental Revenue</t>
        </is>
      </c>
      <c r="O4" s="7" t="inlineStr">
        <is>
          <t>Cumulative Clients</t>
        </is>
      </c>
      <c r="P4" s="7" t="inlineStr">
        <is>
          <t>Year summary</t>
        </is>
      </c>
    </row>
    <row r="5">
      <c r="A5" s="35" t="inlineStr">
        <is>
          <t>Starter</t>
        </is>
      </c>
      <c r="B5" s="35" t="inlineStr">
        <is>
          <t>Buy</t>
        </is>
      </c>
      <c r="C5" s="36" t="n">
        <v>15</v>
      </c>
      <c r="D5" s="37">
        <f>SetupStarter</f>
        <v/>
      </c>
      <c r="E5" s="37">
        <f>HostStarter</f>
        <v/>
      </c>
      <c r="F5" s="38">
        <f>TokenPrice2029</f>
        <v/>
      </c>
      <c r="G5" s="39">
        <f>StarterTokens2029</f>
        <v/>
      </c>
      <c r="H5" s="37">
        <f>F5*G5</f>
        <v/>
      </c>
      <c r="I5" s="40" t="n"/>
      <c r="J5" s="40" t="n"/>
      <c r="K5" s="37">
        <f>C5*D5</f>
        <v/>
      </c>
      <c r="L5" s="37">
        <f>O5*E5</f>
        <v/>
      </c>
      <c r="M5" s="37" t="n"/>
      <c r="N5" s="37" t="n"/>
      <c r="O5" s="41">
        <f>'2028'!$O$5+C5</f>
        <v/>
      </c>
      <c r="P5" s="7" t="inlineStr">
        <is>
          <t>Setup revenue</t>
        </is>
      </c>
      <c r="Q5" s="32">
        <f>K13</f>
        <v/>
      </c>
    </row>
    <row r="6">
      <c r="A6" s="35" t="inlineStr">
        <is>
          <t>Starter</t>
        </is>
      </c>
      <c r="B6" s="35" t="inlineStr">
        <is>
          <t>Rent</t>
        </is>
      </c>
      <c r="C6" s="36" t="n">
        <v>15</v>
      </c>
      <c r="D6" s="37">
        <f>SetupStarter</f>
        <v/>
      </c>
      <c r="E6" s="37">
        <f>HostStarter</f>
        <v/>
      </c>
      <c r="F6" s="38">
        <f>TokenPrice2029</f>
        <v/>
      </c>
      <c r="G6" s="39">
        <f>StarterTokens2029</f>
        <v/>
      </c>
      <c r="H6" s="37">
        <f>F6*G6</f>
        <v/>
      </c>
      <c r="I6" s="40">
        <f>RentalRateY1</f>
        <v/>
      </c>
      <c r="J6" s="40">
        <f>RentalRateYn</f>
        <v/>
      </c>
      <c r="K6" s="37">
        <f>C6*D6</f>
        <v/>
      </c>
      <c r="L6" s="37">
        <f>O6*E6</f>
        <v/>
      </c>
      <c r="M6" s="37">
        <f>C6*I6*H6</f>
        <v/>
      </c>
      <c r="N6" s="37">
        <f>M6+(J6*H6*(O6-C6))</f>
        <v/>
      </c>
      <c r="O6" s="41">
        <f>'2028'!$O$6+C6</f>
        <v/>
      </c>
      <c r="P6" s="7" t="inlineStr">
        <is>
          <t>Hosting revenue</t>
        </is>
      </c>
      <c r="Q6" s="32">
        <f>L13</f>
        <v/>
      </c>
      <c r="R6" s="42">
        <f>(Q7+Q6)/Q8</f>
        <v/>
      </c>
    </row>
    <row r="7">
      <c r="A7" s="4" t="inlineStr">
        <is>
          <t>Growth</t>
        </is>
      </c>
      <c r="B7" s="4" t="inlineStr">
        <is>
          <t>Buy</t>
        </is>
      </c>
      <c r="C7" s="36" t="n">
        <v>10</v>
      </c>
      <c r="D7" s="32">
        <f>SetupGrowth</f>
        <v/>
      </c>
      <c r="E7" s="32">
        <f>HostGrowth</f>
        <v/>
      </c>
      <c r="F7" s="43">
        <f>TokenPrice2029</f>
        <v/>
      </c>
      <c r="G7" s="28">
        <f>GrowthTokens2029</f>
        <v/>
      </c>
      <c r="H7" s="32">
        <f>F7*G7</f>
        <v/>
      </c>
      <c r="I7" s="18" t="n"/>
      <c r="J7" s="18" t="n"/>
      <c r="K7" s="32">
        <f>C7*D7</f>
        <v/>
      </c>
      <c r="L7" s="32">
        <f>O7*E7</f>
        <v/>
      </c>
      <c r="M7" s="32" t="n"/>
      <c r="N7" s="32" t="n"/>
      <c r="O7" s="44">
        <f>'2028'!$O$7+C7</f>
        <v/>
      </c>
      <c r="P7" s="7" t="inlineStr">
        <is>
          <t>Rental revenue</t>
        </is>
      </c>
      <c r="Q7" s="32">
        <f>N13</f>
        <v/>
      </c>
    </row>
    <row r="8">
      <c r="A8" s="4" t="inlineStr">
        <is>
          <t>Growth</t>
        </is>
      </c>
      <c r="B8" s="4" t="inlineStr">
        <is>
          <t>Rent</t>
        </is>
      </c>
      <c r="C8" s="36" t="n">
        <v>10</v>
      </c>
      <c r="D8" s="32">
        <f>SetupGrowth</f>
        <v/>
      </c>
      <c r="E8" s="32">
        <f>HostGrowth</f>
        <v/>
      </c>
      <c r="F8" s="43">
        <f>TokenPrice2029</f>
        <v/>
      </c>
      <c r="G8" s="28">
        <f>GrowthTokens2029</f>
        <v/>
      </c>
      <c r="H8" s="32">
        <f>F8*G8</f>
        <v/>
      </c>
      <c r="I8" s="18">
        <f>RentalRateY1</f>
        <v/>
      </c>
      <c r="J8" s="18">
        <f>RentalRateYn</f>
        <v/>
      </c>
      <c r="K8" s="32">
        <f>C8*D8</f>
        <v/>
      </c>
      <c r="L8" s="32">
        <f>O8*E8</f>
        <v/>
      </c>
      <c r="M8" s="32">
        <f>C8*I8*H8</f>
        <v/>
      </c>
      <c r="N8" s="32">
        <f>M8+(J8*H8*(O8-C8))</f>
        <v/>
      </c>
      <c r="O8" s="44">
        <f>'2028'!$O$8+C8</f>
        <v/>
      </c>
      <c r="P8" s="7" t="inlineStr">
        <is>
          <t>Total revenue</t>
        </is>
      </c>
      <c r="Q8" s="57">
        <f>SUM(Q5:Q7)</f>
        <v/>
      </c>
    </row>
    <row r="9">
      <c r="A9" s="46" t="inlineStr">
        <is>
          <t>Scale</t>
        </is>
      </c>
      <c r="B9" s="46" t="inlineStr">
        <is>
          <t>Buy</t>
        </is>
      </c>
      <c r="C9" s="36" t="n">
        <v>5</v>
      </c>
      <c r="D9" s="47">
        <f>SetupScale</f>
        <v/>
      </c>
      <c r="E9" s="47">
        <f>HostScale</f>
        <v/>
      </c>
      <c r="F9" s="48">
        <f>TokenPrice2029</f>
        <v/>
      </c>
      <c r="G9" s="49">
        <f>ScaleTokens2029</f>
        <v/>
      </c>
      <c r="H9" s="47">
        <f>F9*G9</f>
        <v/>
      </c>
      <c r="I9" s="50" t="n"/>
      <c r="J9" s="50" t="n"/>
      <c r="K9" s="47">
        <f>C9*D9</f>
        <v/>
      </c>
      <c r="L9" s="47">
        <f>O9*E9</f>
        <v/>
      </c>
      <c r="M9" s="47" t="n"/>
      <c r="N9" s="47" t="n"/>
      <c r="O9" s="51">
        <f>'2028'!$O$9+C9</f>
        <v/>
      </c>
    </row>
    <row r="10">
      <c r="A10" s="46" t="inlineStr">
        <is>
          <t>Scale</t>
        </is>
      </c>
      <c r="B10" s="46" t="inlineStr">
        <is>
          <t>Rent</t>
        </is>
      </c>
      <c r="C10" s="36" t="n">
        <v>5</v>
      </c>
      <c r="D10" s="47">
        <f>SetupScale</f>
        <v/>
      </c>
      <c r="E10" s="47">
        <f>HostScale</f>
        <v/>
      </c>
      <c r="F10" s="48">
        <f>TokenPrice2029</f>
        <v/>
      </c>
      <c r="G10" s="49">
        <f>ScaleTokens2029</f>
        <v/>
      </c>
      <c r="H10" s="47">
        <f>F10*G10</f>
        <v/>
      </c>
      <c r="I10" s="40">
        <f>RentalRateY1</f>
        <v/>
      </c>
      <c r="J10" s="40">
        <f>RentalRateYn</f>
        <v/>
      </c>
      <c r="K10" s="47">
        <f>C10*D10</f>
        <v/>
      </c>
      <c r="L10" s="47">
        <f>O10*E10</f>
        <v/>
      </c>
      <c r="M10" s="37">
        <f>C10*I10*H10</f>
        <v/>
      </c>
      <c r="N10" s="37">
        <f>M10+(J10*H10*(O10-C10))</f>
        <v/>
      </c>
      <c r="O10" s="51">
        <f>'2028'!$O$10+C10</f>
        <v/>
      </c>
    </row>
    <row r="11">
      <c r="A11" s="4" t="inlineStr">
        <is>
          <t>Enterprise</t>
        </is>
      </c>
      <c r="B11" s="4" t="inlineStr">
        <is>
          <t>Buy</t>
        </is>
      </c>
      <c r="C11" s="36" t="n">
        <v>3</v>
      </c>
      <c r="D11" s="32">
        <f>SetupEnterprise</f>
        <v/>
      </c>
      <c r="E11" s="32">
        <f>HostEnterprise</f>
        <v/>
      </c>
      <c r="F11" s="43">
        <f>TokenPrice2029</f>
        <v/>
      </c>
      <c r="G11" s="28">
        <f>EnterpriseTokens2029</f>
        <v/>
      </c>
      <c r="H11" s="32">
        <f>F11*G11</f>
        <v/>
      </c>
      <c r="I11" s="18" t="n"/>
      <c r="J11" s="18" t="n"/>
      <c r="K11" s="32">
        <f>C11*D11</f>
        <v/>
      </c>
      <c r="L11" s="32">
        <f>O11*E11</f>
        <v/>
      </c>
      <c r="M11" s="32" t="n"/>
      <c r="N11" s="32" t="n"/>
      <c r="O11" s="44">
        <f>'2028'!$O$11+C11</f>
        <v/>
      </c>
    </row>
    <row r="12">
      <c r="A12" s="4" t="inlineStr">
        <is>
          <t>Enterprise</t>
        </is>
      </c>
      <c r="B12" s="4" t="inlineStr">
        <is>
          <t>Rent</t>
        </is>
      </c>
      <c r="C12" s="36" t="n">
        <v>3</v>
      </c>
      <c r="D12" s="32">
        <f>SetupEnterprise</f>
        <v/>
      </c>
      <c r="E12" s="32">
        <f>HostEnterprise</f>
        <v/>
      </c>
      <c r="F12" s="43">
        <f>TokenPrice2029</f>
        <v/>
      </c>
      <c r="G12" s="28">
        <f>EnterpriseTokens2029</f>
        <v/>
      </c>
      <c r="H12" s="32">
        <f>F12*G12</f>
        <v/>
      </c>
      <c r="I12" s="18">
        <f>RentalRateY1</f>
        <v/>
      </c>
      <c r="J12" s="18">
        <f>RentalRateYn</f>
        <v/>
      </c>
      <c r="K12" s="32">
        <f>C12*D12</f>
        <v/>
      </c>
      <c r="L12" s="32">
        <f>O12*E12</f>
        <v/>
      </c>
      <c r="M12" s="32">
        <f>C12*I12*H12</f>
        <v/>
      </c>
      <c r="N12" s="32">
        <f>M12+(J12*H12*(O12-C12))</f>
        <v/>
      </c>
      <c r="O12" s="44">
        <f>'2028'!$O$12+C12</f>
        <v/>
      </c>
    </row>
    <row r="13">
      <c r="A13" s="7" t="inlineStr">
        <is>
          <t>TOTAL</t>
        </is>
      </c>
      <c r="C13" s="58">
        <f>SUM(C5:C12)</f>
        <v/>
      </c>
      <c r="K13" s="59">
        <f>SUM(K5:K12)</f>
        <v/>
      </c>
      <c r="L13" s="60">
        <f>SUM(L5:L12)</f>
        <v/>
      </c>
      <c r="M13" s="60" t="n"/>
      <c r="N13" s="61">
        <f>SUM(N5:N12)</f>
        <v/>
      </c>
      <c r="O13" s="58">
        <f>SUM(O5:O12)</f>
        <v/>
      </c>
    </row>
    <row r="14">
      <c r="G14" s="6" t="inlineStr">
        <is>
          <t>total injecté dans la pool</t>
        </is>
      </c>
      <c r="H14" s="56">
        <f>sum(H5:H12)</f>
        <v/>
      </c>
    </row>
    <row r="15">
      <c r="A15" s="4" t="inlineStr">
        <is>
          <t>Rental % clients</t>
        </is>
      </c>
      <c r="C15" s="18">
        <f>(C6+C8+C12+C10)/C13</f>
        <v/>
      </c>
    </row>
    <row r="17">
      <c r="A17" s="4" t="inlineStr">
        <is>
          <t>Nb of tokens for rental /New clients</t>
        </is>
      </c>
      <c r="C17" s="28">
        <f>G6*C6+G8*C8+G10*C10+G12*C12</f>
        <v/>
      </c>
    </row>
    <row r="18">
      <c r="A18" s="4" t="inlineStr">
        <is>
          <t>Cumulative Tokens for Rental</t>
        </is>
      </c>
      <c r="C18" s="28">
        <f>C17+'2028'!C18</f>
        <v/>
      </c>
    </row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">
    <mergeCell ref="R6:R7"/>
  </mergeCells>
  <dataValidations count="1">
    <dataValidation sqref="C5:C12" showDropDown="0" showInputMessage="0" showErrorMessage="1" allowBlank="1" type="decimal" operator="greaterThanOrEqual">
      <formula1>0.0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ColWidth="14.43" defaultRowHeight="15" customHeight="1"/>
  <cols>
    <col width="12.71" customWidth="1" style="67" min="1" max="1"/>
    <col width="8.710000000000001" customWidth="1" style="67" min="2" max="2"/>
    <col width="12.71" customWidth="1" style="67" min="3" max="3"/>
    <col width="20.71" customWidth="1" style="67" min="4" max="5"/>
    <col width="16.71" customWidth="1" style="67" min="6" max="6"/>
    <col width="16.29" customWidth="1" style="67" min="7" max="7"/>
    <col width="16.71" customWidth="1" style="67" min="8" max="8"/>
    <col width="14.71" customWidth="1" style="67" min="9" max="10"/>
    <col width="18.71" customWidth="1" style="67" min="11" max="15"/>
    <col width="8.859999999999999" customWidth="1" style="67" min="16" max="16"/>
    <col width="17.43" customWidth="1" style="67" min="17" max="17"/>
    <col width="8.859999999999999" customWidth="1" style="67" min="18" max="26"/>
  </cols>
  <sheetData>
    <row r="1">
      <c r="A1" s="1" t="inlineStr">
        <is>
          <t>Year 2030 – client inputs &amp; revenues</t>
        </is>
      </c>
    </row>
    <row r="2">
      <c r="A2" s="2" t="inlineStr">
        <is>
          <t>Enter new clients by Tier &amp; Mode. Hosting and Rentals includes carry-over (cumulative clients).</t>
        </is>
      </c>
      <c r="F2" s="3" t="n"/>
      <c r="G2" s="4" t="inlineStr">
        <is>
          <t>Cells to be changed</t>
        </is>
      </c>
    </row>
    <row r="4">
      <c r="A4" s="7" t="inlineStr">
        <is>
          <t>Tier</t>
        </is>
      </c>
      <c r="B4" s="7" t="inlineStr">
        <is>
          <t>Mode</t>
        </is>
      </c>
      <c r="C4" s="7" t="inlineStr">
        <is>
          <t>New Clients</t>
        </is>
      </c>
      <c r="D4" s="7" t="inlineStr">
        <is>
          <t>Setup €/client</t>
        </is>
      </c>
      <c r="E4" s="7" t="inlineStr">
        <is>
          <t>Hosting €/client/year</t>
        </is>
      </c>
      <c r="F4" s="7" t="inlineStr">
        <is>
          <t>Token €/unit</t>
        </is>
      </c>
      <c r="G4" s="7" t="inlineStr">
        <is>
          <t>Adjusted Tokens thresholds</t>
        </is>
      </c>
      <c r="H4" s="7" t="inlineStr">
        <is>
          <t>Stake €/client</t>
        </is>
      </c>
      <c r="I4" s="7" t="inlineStr">
        <is>
          <t>Rental Y1 %</t>
        </is>
      </c>
      <c r="J4" s="7" t="inlineStr">
        <is>
          <t>Rental Yn %</t>
        </is>
      </c>
      <c r="K4" s="7" t="inlineStr">
        <is>
          <t>Setup Revenue</t>
        </is>
      </c>
      <c r="L4" s="7" t="inlineStr">
        <is>
          <t>Hosting Revenue</t>
        </is>
      </c>
      <c r="M4" s="7" t="inlineStr">
        <is>
          <t>Rental Revenue Y1 New clients</t>
        </is>
      </c>
      <c r="N4" s="7" t="inlineStr">
        <is>
          <t>Total Rental Revenue</t>
        </is>
      </c>
      <c r="O4" s="7" t="inlineStr">
        <is>
          <t>Cumulative Clients</t>
        </is>
      </c>
      <c r="P4" s="7" t="inlineStr">
        <is>
          <t>Year summary</t>
        </is>
      </c>
    </row>
    <row r="5">
      <c r="A5" s="35" t="inlineStr">
        <is>
          <t>Starter</t>
        </is>
      </c>
      <c r="B5" s="35" t="inlineStr">
        <is>
          <t>Buy</t>
        </is>
      </c>
      <c r="C5" s="36" t="n">
        <v>20</v>
      </c>
      <c r="D5" s="37">
        <f>SetupStarter</f>
        <v/>
      </c>
      <c r="E5" s="37">
        <f>HostStarter</f>
        <v/>
      </c>
      <c r="F5" s="38">
        <f>TokenPrice2030</f>
        <v/>
      </c>
      <c r="G5" s="39">
        <f>StarterTokens2030</f>
        <v/>
      </c>
      <c r="H5" s="37">
        <f>F5*G5</f>
        <v/>
      </c>
      <c r="I5" s="40" t="n"/>
      <c r="J5" s="40" t="n"/>
      <c r="K5" s="37">
        <f>C5*D5</f>
        <v/>
      </c>
      <c r="L5" s="37">
        <f>O5*E5</f>
        <v/>
      </c>
      <c r="M5" s="37" t="n"/>
      <c r="N5" s="37" t="n"/>
      <c r="O5" s="41">
        <f>'2029'!$O$5+C5</f>
        <v/>
      </c>
      <c r="P5" s="7" t="inlineStr">
        <is>
          <t>Setup revenue</t>
        </is>
      </c>
      <c r="Q5" s="32">
        <f>K13</f>
        <v/>
      </c>
    </row>
    <row r="6">
      <c r="A6" s="35" t="inlineStr">
        <is>
          <t>Starter</t>
        </is>
      </c>
      <c r="B6" s="35" t="inlineStr">
        <is>
          <t>Rent</t>
        </is>
      </c>
      <c r="C6" s="36" t="n">
        <v>20</v>
      </c>
      <c r="D6" s="37">
        <f>SetupStarter</f>
        <v/>
      </c>
      <c r="E6" s="37">
        <f>HostStarter</f>
        <v/>
      </c>
      <c r="F6" s="38">
        <f>TokenPrice2030</f>
        <v/>
      </c>
      <c r="G6" s="39">
        <f>StarterTokens2030</f>
        <v/>
      </c>
      <c r="H6" s="37">
        <f>F6*G6</f>
        <v/>
      </c>
      <c r="I6" s="40">
        <f>RentalRateY1</f>
        <v/>
      </c>
      <c r="J6" s="40">
        <f>RentalRateYn</f>
        <v/>
      </c>
      <c r="K6" s="37">
        <f>C6*D6</f>
        <v/>
      </c>
      <c r="L6" s="37">
        <f>O6*E6</f>
        <v/>
      </c>
      <c r="M6" s="37">
        <f>C6*I6*H6</f>
        <v/>
      </c>
      <c r="N6" s="37">
        <f>M6+(J6*H6*(O6-C6))</f>
        <v/>
      </c>
      <c r="O6" s="41">
        <f>'2029'!$O$6+C6</f>
        <v/>
      </c>
      <c r="P6" s="7" t="inlineStr">
        <is>
          <t>Hosting revenue</t>
        </is>
      </c>
      <c r="Q6" s="32">
        <f>L13</f>
        <v/>
      </c>
      <c r="R6" s="42">
        <f>(Q7+Q6)/Q8</f>
        <v/>
      </c>
    </row>
    <row r="7">
      <c r="A7" s="4" t="inlineStr">
        <is>
          <t>Growth</t>
        </is>
      </c>
      <c r="B7" s="4" t="inlineStr">
        <is>
          <t>Buy</t>
        </is>
      </c>
      <c r="C7" s="36" t="n">
        <v>15</v>
      </c>
      <c r="D7" s="32">
        <f>SetupGrowth</f>
        <v/>
      </c>
      <c r="E7" s="32">
        <f>HostGrowth</f>
        <v/>
      </c>
      <c r="F7" s="43">
        <f>TokenPrice2030</f>
        <v/>
      </c>
      <c r="G7" s="28">
        <f>GrowthTokens2030</f>
        <v/>
      </c>
      <c r="H7" s="32">
        <f>F7*G7</f>
        <v/>
      </c>
      <c r="I7" s="18" t="n"/>
      <c r="J7" s="18" t="n"/>
      <c r="K7" s="32">
        <f>C7*D7</f>
        <v/>
      </c>
      <c r="L7" s="32">
        <f>O7*E7</f>
        <v/>
      </c>
      <c r="M7" s="32" t="n"/>
      <c r="N7" s="32" t="n"/>
      <c r="O7" s="44">
        <f>'2029'!$O$7+C7</f>
        <v/>
      </c>
      <c r="P7" s="7" t="inlineStr">
        <is>
          <t>Rental revenue</t>
        </is>
      </c>
      <c r="Q7" s="32">
        <f>N13</f>
        <v/>
      </c>
    </row>
    <row r="8">
      <c r="A8" s="4" t="inlineStr">
        <is>
          <t>Growth</t>
        </is>
      </c>
      <c r="B8" s="4" t="inlineStr">
        <is>
          <t>Rent</t>
        </is>
      </c>
      <c r="C8" s="36" t="n">
        <v>15</v>
      </c>
      <c r="D8" s="32">
        <f>SetupGrowth</f>
        <v/>
      </c>
      <c r="E8" s="32">
        <f>HostGrowth</f>
        <v/>
      </c>
      <c r="F8" s="43">
        <f>TokenPrice2030</f>
        <v/>
      </c>
      <c r="G8" s="28">
        <f>GrowthTokens2030</f>
        <v/>
      </c>
      <c r="H8" s="32">
        <f>F8*G8</f>
        <v/>
      </c>
      <c r="I8" s="18">
        <f>RentalRateY1</f>
        <v/>
      </c>
      <c r="J8" s="18">
        <f>RentalRateYn</f>
        <v/>
      </c>
      <c r="K8" s="32">
        <f>C8*D8</f>
        <v/>
      </c>
      <c r="L8" s="32">
        <f>O8*E8</f>
        <v/>
      </c>
      <c r="M8" s="32">
        <f>C8*I8*H8</f>
        <v/>
      </c>
      <c r="N8" s="32">
        <f>M8+(J8*H8*(O8-C8))</f>
        <v/>
      </c>
      <c r="O8" s="44">
        <f>'2029'!$O$8+C8</f>
        <v/>
      </c>
      <c r="P8" s="7" t="inlineStr">
        <is>
          <t>Total revenue</t>
        </is>
      </c>
      <c r="Q8" s="57">
        <f>SUM(Q5:Q7)</f>
        <v/>
      </c>
    </row>
    <row r="9">
      <c r="A9" s="46" t="inlineStr">
        <is>
          <t>Scale</t>
        </is>
      </c>
      <c r="B9" s="46" t="inlineStr">
        <is>
          <t>Buy</t>
        </is>
      </c>
      <c r="C9" s="36" t="n">
        <v>10</v>
      </c>
      <c r="D9" s="47">
        <f>SetupScale</f>
        <v/>
      </c>
      <c r="E9" s="47">
        <f>HostScale</f>
        <v/>
      </c>
      <c r="F9" s="48">
        <f>TokenPrice2030</f>
        <v/>
      </c>
      <c r="G9" s="49">
        <f>ScaleTokens2030</f>
        <v/>
      </c>
      <c r="H9" s="47">
        <f>F9*G9</f>
        <v/>
      </c>
      <c r="I9" s="50" t="n"/>
      <c r="J9" s="50" t="n"/>
      <c r="K9" s="47">
        <f>C9*D9</f>
        <v/>
      </c>
      <c r="L9" s="47">
        <f>O9*E9</f>
        <v/>
      </c>
      <c r="M9" s="47" t="n"/>
      <c r="N9" s="47" t="n"/>
      <c r="O9" s="51">
        <f>'2029'!$O$9+C9</f>
        <v/>
      </c>
    </row>
    <row r="10">
      <c r="A10" s="46" t="inlineStr">
        <is>
          <t>Scale</t>
        </is>
      </c>
      <c r="B10" s="46" t="inlineStr">
        <is>
          <t>Rent</t>
        </is>
      </c>
      <c r="C10" s="36" t="n">
        <v>10</v>
      </c>
      <c r="D10" s="47">
        <f>SetupScale</f>
        <v/>
      </c>
      <c r="E10" s="47">
        <f>HostScale</f>
        <v/>
      </c>
      <c r="F10" s="48">
        <f>TokenPrice2030</f>
        <v/>
      </c>
      <c r="G10" s="49">
        <f>ScaleTokens2030</f>
        <v/>
      </c>
      <c r="H10" s="47">
        <f>F10*G10</f>
        <v/>
      </c>
      <c r="I10" s="40">
        <f>RentalRateY1</f>
        <v/>
      </c>
      <c r="J10" s="40">
        <f>RentalRateYn</f>
        <v/>
      </c>
      <c r="K10" s="47">
        <f>C10*D10</f>
        <v/>
      </c>
      <c r="L10" s="47">
        <f>O10*E10</f>
        <v/>
      </c>
      <c r="M10" s="37">
        <f>C10*I10*H10</f>
        <v/>
      </c>
      <c r="N10" s="37">
        <f>M10+(J10*H10*(O10-C10))</f>
        <v/>
      </c>
      <c r="O10" s="51">
        <f>'2029'!$O$10+C10</f>
        <v/>
      </c>
    </row>
    <row r="11">
      <c r="A11" s="4" t="inlineStr">
        <is>
          <t>Enterprise</t>
        </is>
      </c>
      <c r="B11" s="4" t="inlineStr">
        <is>
          <t>Buy</t>
        </is>
      </c>
      <c r="C11" s="36" t="n">
        <v>5</v>
      </c>
      <c r="D11" s="32">
        <f>SetupEnterprise</f>
        <v/>
      </c>
      <c r="E11" s="32">
        <f>HostEnterprise</f>
        <v/>
      </c>
      <c r="F11" s="43">
        <f>TokenPrice2030</f>
        <v/>
      </c>
      <c r="G11" s="28">
        <f>EnterpriseTokens2030</f>
        <v/>
      </c>
      <c r="H11" s="32">
        <f>F11*G11</f>
        <v/>
      </c>
      <c r="I11" s="18" t="n"/>
      <c r="J11" s="18" t="n"/>
      <c r="K11" s="32">
        <f>C11*D11</f>
        <v/>
      </c>
      <c r="L11" s="32">
        <f>O11*E11</f>
        <v/>
      </c>
      <c r="M11" s="32" t="n"/>
      <c r="N11" s="32" t="n"/>
      <c r="O11" s="44">
        <f>'2029'!$O$11+C11</f>
        <v/>
      </c>
    </row>
    <row r="12">
      <c r="A12" s="4" t="inlineStr">
        <is>
          <t>Enterprise</t>
        </is>
      </c>
      <c r="B12" s="4" t="inlineStr">
        <is>
          <t>Rent</t>
        </is>
      </c>
      <c r="C12" s="36" t="n">
        <v>5</v>
      </c>
      <c r="D12" s="32">
        <f>SetupEnterprise</f>
        <v/>
      </c>
      <c r="E12" s="32">
        <f>HostEnterprise</f>
        <v/>
      </c>
      <c r="F12" s="43">
        <f>TokenPrice2030</f>
        <v/>
      </c>
      <c r="G12" s="28">
        <f>EnterpriseTokens2030</f>
        <v/>
      </c>
      <c r="H12" s="32">
        <f>F12*G12</f>
        <v/>
      </c>
      <c r="I12" s="18">
        <f>RentalRateY1</f>
        <v/>
      </c>
      <c r="J12" s="18">
        <f>RentalRateYn</f>
        <v/>
      </c>
      <c r="K12" s="32">
        <f>C12*D12</f>
        <v/>
      </c>
      <c r="L12" s="32">
        <f>O12*E12</f>
        <v/>
      </c>
      <c r="M12" s="32">
        <f>C12*I12*H12</f>
        <v/>
      </c>
      <c r="N12" s="32">
        <f>M12+(J12*H12*(O12-C12))</f>
        <v/>
      </c>
      <c r="O12" s="44">
        <f>'2029'!$O$12+C12</f>
        <v/>
      </c>
    </row>
    <row r="13">
      <c r="A13" s="7" t="inlineStr">
        <is>
          <t>TOTAL</t>
        </is>
      </c>
      <c r="C13" s="58">
        <f>SUM(C5:C12)</f>
        <v/>
      </c>
      <c r="K13" s="59">
        <f>SUM(K5:K12)</f>
        <v/>
      </c>
      <c r="L13" s="60">
        <f>SUM(L5:L12)</f>
        <v/>
      </c>
      <c r="M13" s="60" t="n"/>
      <c r="N13" s="61">
        <f>SUM(N5:N12)</f>
        <v/>
      </c>
      <c r="O13" s="58">
        <f>SUM(O5:O12)</f>
        <v/>
      </c>
    </row>
    <row r="14">
      <c r="H14" s="56">
        <f>sum(H5:H12)</f>
        <v/>
      </c>
    </row>
    <row r="15">
      <c r="A15" s="4" t="inlineStr">
        <is>
          <t>Rental % clients</t>
        </is>
      </c>
      <c r="C15" s="18">
        <f>(C6+C8+C12+C10)/C13</f>
        <v/>
      </c>
    </row>
    <row r="17">
      <c r="A17" s="4" t="inlineStr">
        <is>
          <t>Nb of tokens for rental /New clients</t>
        </is>
      </c>
      <c r="C17" s="28">
        <f>G6*C6+G8*C8+G10*C10+G12*C12</f>
        <v/>
      </c>
    </row>
    <row r="18">
      <c r="A18" s="4" t="inlineStr">
        <is>
          <t>Cumulative Tokens for Rental</t>
        </is>
      </c>
      <c r="C18" s="28">
        <f>C17+'2029'!C18</f>
        <v/>
      </c>
    </row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">
    <mergeCell ref="R6:R7"/>
  </mergeCells>
  <dataValidations count="1">
    <dataValidation sqref="C5:C12" showDropDown="0" showInputMessage="0" showErrorMessage="1" allowBlank="1" type="decimal" operator="greaterThanOrEqual">
      <formula1>0.0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67" min="1" max="1"/>
    <col width="16.71" customWidth="1" style="67" min="2" max="6"/>
    <col width="12.71" customWidth="1" style="67" min="7" max="7"/>
    <col width="16.71" customWidth="1" style="67" min="8" max="8"/>
    <col width="24.71" customWidth="1" style="67" min="9" max="9"/>
    <col width="8.859999999999999" customWidth="1" style="67" min="10" max="27"/>
  </cols>
  <sheetData>
    <row r="1">
      <c r="A1" s="1" t="inlineStr">
        <is>
          <t>Revenue summary &amp; token trajectory (2026–2030) - With 80% rent</t>
        </is>
      </c>
    </row>
    <row r="3">
      <c r="A3" s="7" t="inlineStr">
        <is>
          <t>Year</t>
        </is>
      </c>
      <c r="B3" s="7" t="inlineStr">
        <is>
          <t>Total Clients</t>
        </is>
      </c>
      <c r="C3" s="7" t="inlineStr">
        <is>
          <t>Setup (€)</t>
        </is>
      </c>
      <c r="D3" s="7" t="inlineStr">
        <is>
          <t>Hosting (€)</t>
        </is>
      </c>
      <c r="E3" s="7" t="inlineStr">
        <is>
          <t>Rental (€)</t>
        </is>
      </c>
      <c r="F3" s="7" t="inlineStr">
        <is>
          <t>Total (€)</t>
        </is>
      </c>
      <c r="G3" s="7" t="inlineStr">
        <is>
          <t>Recurring %</t>
        </is>
      </c>
      <c r="H3" s="7" t="inlineStr">
        <is>
          <t>Token €/unit</t>
        </is>
      </c>
      <c r="I3" s="7" t="inlineStr">
        <is>
          <t>Market Cap (1B tokens, €)</t>
        </is>
      </c>
    </row>
    <row r="4">
      <c r="A4" s="4" t="n">
        <v>2026</v>
      </c>
      <c r="B4" s="62">
        <f>'2026'!O13</f>
        <v/>
      </c>
      <c r="C4" s="32">
        <f>'2026'!$Q$5</f>
        <v/>
      </c>
      <c r="D4" s="32">
        <f>'2026'!$Q$6</f>
        <v/>
      </c>
      <c r="E4" s="32">
        <f>'2026'!$Q$7</f>
        <v/>
      </c>
      <c r="F4" s="45">
        <f>SUM(C4:E4)</f>
        <v/>
      </c>
      <c r="G4" s="18">
        <f>IFERROR((D4+E4)/F4,0)</f>
        <v/>
      </c>
      <c r="H4" s="43">
        <f>TokenPrice2026</f>
        <v/>
      </c>
      <c r="I4" s="32">
        <f>1000000000*H4</f>
        <v/>
      </c>
    </row>
    <row r="5">
      <c r="A5" s="4" t="n">
        <v>2027</v>
      </c>
      <c r="B5" s="62">
        <f>'2027'!O13</f>
        <v/>
      </c>
      <c r="C5" s="32">
        <f>'2027'!$Q$5</f>
        <v/>
      </c>
      <c r="D5" s="32">
        <f>'2027'!$Q$6</f>
        <v/>
      </c>
      <c r="E5" s="32">
        <f>'2027'!$Q$7</f>
        <v/>
      </c>
      <c r="F5" s="45">
        <f>SUM(C5:E5)</f>
        <v/>
      </c>
      <c r="G5" s="18">
        <f>IFERROR((D5+E5)/F5,0)</f>
        <v/>
      </c>
      <c r="H5" s="43">
        <f>TokenPrice2027</f>
        <v/>
      </c>
      <c r="I5" s="32">
        <f>1000000000*H5</f>
        <v/>
      </c>
    </row>
    <row r="6">
      <c r="A6" s="4" t="n">
        <v>2028</v>
      </c>
      <c r="B6" s="62">
        <f>'2028'!O13</f>
        <v/>
      </c>
      <c r="C6" s="32">
        <f>'2028'!$Q$5</f>
        <v/>
      </c>
      <c r="D6" s="32">
        <f>'2028'!$Q$6</f>
        <v/>
      </c>
      <c r="E6" s="32">
        <f>'2028'!$Q$7</f>
        <v/>
      </c>
      <c r="F6" s="45">
        <f>SUM(C6:E6)</f>
        <v/>
      </c>
      <c r="G6" s="18">
        <f>IFERROR((D6+E6)/F6,0)</f>
        <v/>
      </c>
      <c r="H6" s="43">
        <f>TokenPrice2028</f>
        <v/>
      </c>
      <c r="I6" s="32">
        <f>1000000000*H6</f>
        <v/>
      </c>
    </row>
    <row r="7">
      <c r="A7" s="4" t="n">
        <v>2029</v>
      </c>
      <c r="B7" s="62">
        <f>'2029'!O13</f>
        <v/>
      </c>
      <c r="C7" s="32">
        <f>'2029'!$Q$5</f>
        <v/>
      </c>
      <c r="D7" s="32">
        <f>'2029'!$Q$6</f>
        <v/>
      </c>
      <c r="E7" s="32">
        <f>'2029'!$Q$7</f>
        <v/>
      </c>
      <c r="F7" s="45">
        <f>SUM(C7:E7)</f>
        <v/>
      </c>
      <c r="G7" s="18">
        <f>IFERROR((D7+E7)/F7,0)</f>
        <v/>
      </c>
      <c r="H7" s="43">
        <f>TokenPrice2029</f>
        <v/>
      </c>
      <c r="I7" s="32">
        <f>1000000000*H7</f>
        <v/>
      </c>
    </row>
    <row r="8">
      <c r="A8" s="4" t="n">
        <v>2030</v>
      </c>
      <c r="B8" s="62">
        <f>'2030'!O13</f>
        <v/>
      </c>
      <c r="C8" s="32">
        <f>'2030'!$Q$5</f>
        <v/>
      </c>
      <c r="D8" s="32">
        <f>'2030'!$Q$6</f>
        <v/>
      </c>
      <c r="E8" s="32">
        <f>'2030'!$Q$7</f>
        <v/>
      </c>
      <c r="F8" s="45">
        <f>SUM(C8:E8)</f>
        <v/>
      </c>
      <c r="G8" s="18">
        <f>IFERROR((D8+E8)/F8,0)</f>
        <v/>
      </c>
      <c r="H8" s="43">
        <f>TokenPrice2030</f>
        <v/>
      </c>
      <c r="I8" s="32">
        <f>1000000000*H8</f>
        <v/>
      </c>
    </row>
    <row r="9">
      <c r="A9" s="7" t="inlineStr">
        <is>
          <t>TOTAL</t>
        </is>
      </c>
      <c r="B9" s="63">
        <f>B8</f>
        <v/>
      </c>
      <c r="C9" s="64">
        <f>SUM(C4:C8)</f>
        <v/>
      </c>
      <c r="D9" s="64">
        <f>SUM(D4:D8)</f>
        <v/>
      </c>
      <c r="E9" s="64">
        <f>SUM(E4:E8)</f>
        <v/>
      </c>
      <c r="F9" s="65">
        <f>SUM(F4:F8)</f>
        <v/>
      </c>
      <c r="G9" s="66">
        <f>IFERROR((D9+E9)/F9,0)</f>
        <v/>
      </c>
    </row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ColWidth="14.43" defaultRowHeight="15" customHeight="1"/>
  <cols>
    <col width="120.71" customWidth="1" style="67" min="1" max="1"/>
    <col width="8.859999999999999" customWidth="1" style="67" min="2" max="26"/>
  </cols>
  <sheetData>
    <row r="1">
      <c r="A1" s="1" t="inlineStr">
        <is>
          <t>How to use this simulator</t>
        </is>
      </c>
    </row>
    <row r="3">
      <c r="A3" s="2" t="inlineStr">
        <is>
          <t>1) Update token prices, thresholds and pricing in 'Assumptions'.</t>
        </is>
      </c>
    </row>
    <row r="4">
      <c r="A4" s="2" t="inlineStr">
        <is>
          <t>2) Year tabs are pre-populated with mixes from Business Model Summary V10 (you can overwrite).</t>
        </is>
      </c>
    </row>
    <row r="5">
      <c r="A5" s="2" t="inlineStr">
        <is>
          <t>3) 'Summary' aggregates revenues, recurring %, and token trajectory.</t>
        </is>
      </c>
    </row>
    <row r="7">
      <c r="A7" s="7" t="inlineStr">
        <is>
          <t>Notes:</t>
        </is>
      </c>
    </row>
    <row r="8">
      <c r="A8" s="2" t="inlineStr">
        <is>
          <t>• Adjusted tokens per year = Initial tokens × (1 – threshold reduction)^years since 2026.</t>
        </is>
      </c>
    </row>
    <row r="9">
      <c r="A9" s="2" t="inlineStr">
        <is>
          <t>• Hosting revenue = cumulative clients × annual hosting fee.</t>
        </is>
      </c>
    </row>
    <row r="10">
      <c r="A10" s="2" t="inlineStr">
        <is>
          <t>• Rental revenue = new Rent clients × rental rate × stake value (onboarding year).</t>
        </is>
      </c>
    </row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2025-10-20T09:05:08Z</dcterms:created>
  <dcterms:modified xmlns:dcterms="http://purl.org/dc/terms/" xmlns:xsi="http://www.w3.org/2001/XMLSchema-instance" xsi:type="dcterms:W3CDTF">2026-03-07T18:10:19Z</dcterms:modified>
</cp:coreProperties>
</file>