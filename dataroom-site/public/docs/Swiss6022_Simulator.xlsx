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sumptions" sheetId="1" r:id="rId4"/>
    <sheet state="visible" name="2026" sheetId="2" r:id="rId5"/>
    <sheet state="visible" name="2027" sheetId="3" r:id="rId6"/>
    <sheet state="visible" name="2028" sheetId="4" r:id="rId7"/>
    <sheet state="visible" name="2029" sheetId="5" r:id="rId8"/>
    <sheet state="visible" name="2030" sheetId="6" r:id="rId9"/>
    <sheet state="visible" name="Summary" sheetId="7" r:id="rId10"/>
    <sheet state="visible" name="Guide" sheetId="8" r:id="rId11"/>
  </sheets>
  <definedNames>
    <definedName name="HostGrowth">Assumptions!$B$33</definedName>
    <definedName name="GrowthTokens2027">Assumptions!$C$14</definedName>
    <definedName name="ScaleTokens2030">Assumptions!$F$15</definedName>
    <definedName name="HostScale">Assumptions!$B$34</definedName>
    <definedName name="SetupStarter">Assumptions!$B$25</definedName>
    <definedName name="ScaleTokens2028">Assumptions!$D$15</definedName>
    <definedName name="RentalRateY1">Assumptions!$B$37</definedName>
    <definedName name="StarterTokens2027">Assumptions!$C$13</definedName>
    <definedName name="SetupScale">Assumptions!$B$27</definedName>
    <definedName name="SetupEnterprise">Assumptions!$B$28</definedName>
    <definedName name="RentalRate">Assumptions!$B$37</definedName>
    <definedName name="RentalRate_Y1">Assumptions!$B$37</definedName>
    <definedName name="GrowthTokens2028">Assumptions!$D$14</definedName>
    <definedName name="TokenPrice2026">Assumptions!$B$5</definedName>
    <definedName name="StarterTokens2030">Assumptions!$F$13</definedName>
    <definedName name="StarterTokens2028">Assumptions!$D$13</definedName>
    <definedName name="EnterpriseTokensInit">Assumptions!$B$16</definedName>
    <definedName name="TokenPrice2027">Assumptions!$B$6</definedName>
    <definedName name="GrowthTokens2030">Assumptions!$F$14</definedName>
    <definedName name="GrowthTokens2029">Assumptions!$E$14</definedName>
    <definedName name="ScaleTokens2027">Assumptions!$C$15</definedName>
    <definedName name="ThresholdReduction">Assumptions!$A$21</definedName>
    <definedName name="TokenPrice2031">Assumptions!$B$10</definedName>
    <definedName name="SetupGrowth">Assumptions!$B$26</definedName>
    <definedName name="EnterpriseTokens2028">Assumptions!$D$16</definedName>
    <definedName name="StarterTokens2029">Assumptions!$E$13</definedName>
    <definedName name="EnterpriseTokens2029">Assumptions!$E$16</definedName>
    <definedName name="HostEnterprise">Assumptions!$B$35</definedName>
    <definedName name="TokenPrice2029">Assumptions!$B$8</definedName>
    <definedName name="ScaleTokensInit">Assumptions!$B$15</definedName>
    <definedName name="HostStarter">Assumptions!$B$32</definedName>
    <definedName name="TokenPrice2028">Assumptions!$B$7</definedName>
    <definedName name="StarterTokensInit">Assumptions!$B$13</definedName>
    <definedName name="TokenPrice2030">Assumptions!$B$9</definedName>
    <definedName name="ScaleTokens2029">Assumptions!$E$15</definedName>
    <definedName name="RentalRateYn">Assumptions!$B$38</definedName>
    <definedName name="EnterpriseTokens2027">Assumptions!$C$16</definedName>
    <definedName name="EnterpriseTokens2030">Assumptions!$F$16</definedName>
    <definedName name="GrowthTokensInit">Assumptions!$B$14</definedName>
  </definedNames>
  <calcPr/>
  <extLst>
    <ext uri="GoogleSheetsCustomDataVersion2">
      <go:sheetsCustomData xmlns:go="http://customooxmlschemas.google.com/" r:id="rId12" roundtripDataChecksum="qe0QKb3SmnK/YKanGjoVIgOvBcAVuAkwHEscC9E0odI="/>
    </ext>
  </extLst>
</workbook>
</file>

<file path=xl/sharedStrings.xml><?xml version="1.0" encoding="utf-8"?>
<sst xmlns="http://schemas.openxmlformats.org/spreadsheetml/2006/main" count="297" uniqueCount="91">
  <si>
    <t>Swiss 6022 – Business Model Assumptions (fixed references)</t>
  </si>
  <si>
    <t>Edit yellow cells to tune the model. Values flow into years &amp; summary.</t>
  </si>
  <si>
    <t>Cells to be changed</t>
  </si>
  <si>
    <t>Token prices (€/token)</t>
  </si>
  <si>
    <t>Pool</t>
  </si>
  <si>
    <t>Year</t>
  </si>
  <si>
    <t>€/token (beg of period)</t>
  </si>
  <si>
    <t>Growth</t>
  </si>
  <si>
    <t>in</t>
  </si>
  <si>
    <t>out</t>
  </si>
  <si>
    <t>solde</t>
  </si>
  <si>
    <t>New price (end of period)</t>
  </si>
  <si>
    <t>Market Cap (beg of period)</t>
  </si>
  <si>
    <t>Market Cap (enf of period)</t>
  </si>
  <si>
    <t>USD</t>
  </si>
  <si>
    <t>Price</t>
  </si>
  <si>
    <t>Asset swiss 6022</t>
  </si>
  <si>
    <t>Cash from pool</t>
  </si>
  <si>
    <t>Swiss 6022 assets Value</t>
  </si>
  <si>
    <t xml:space="preserve">Stake-to-Access thresholds </t>
  </si>
  <si>
    <t>Nb of tokens</t>
  </si>
  <si>
    <t>In Euros</t>
  </si>
  <si>
    <t>Tier</t>
  </si>
  <si>
    <t>Tokens 2026</t>
  </si>
  <si>
    <t>Tokens 2027</t>
  </si>
  <si>
    <t>Tokens 2028</t>
  </si>
  <si>
    <t>Tokens 2029</t>
  </si>
  <si>
    <t>Tokens 2030</t>
  </si>
  <si>
    <t>CAGR</t>
  </si>
  <si>
    <t xml:space="preserve">Tokens 2026 </t>
  </si>
  <si>
    <t>Starter</t>
  </si>
  <si>
    <t>Scale</t>
  </si>
  <si>
    <t>Enterprise</t>
  </si>
  <si>
    <t>Delta vs PY</t>
  </si>
  <si>
    <t>Annual token threshold reduction (to cap cash-entry growth)</t>
  </si>
  <si>
    <t>Reduction %</t>
  </si>
  <si>
    <t>Pricing – Setup (one-off)</t>
  </si>
  <si>
    <t>€ / client</t>
  </si>
  <si>
    <t>Pricing – Hosting (recurring per year)</t>
  </si>
  <si>
    <t>€ / client / year</t>
  </si>
  <si>
    <t xml:space="preserve">origine </t>
  </si>
  <si>
    <t>Rental Rate Y1</t>
  </si>
  <si>
    <t>Rental Rate Yn</t>
  </si>
  <si>
    <t>Year 2026 – client inputs &amp; revenues</t>
  </si>
  <si>
    <t>Enter new clients by Tier &amp; Mode. Hosting and Rentals includes carry-over (cumulative clients).</t>
  </si>
  <si>
    <t>Mode</t>
  </si>
  <si>
    <t>New Clients</t>
  </si>
  <si>
    <t>Setup €/client</t>
  </si>
  <si>
    <t>Hosting €/client/year</t>
  </si>
  <si>
    <t>Token €/unit</t>
  </si>
  <si>
    <t>Adjusted Tokens thresholds</t>
  </si>
  <si>
    <t>Stake €/client</t>
  </si>
  <si>
    <t>Rental Y1 %</t>
  </si>
  <si>
    <t>Rental Yn %</t>
  </si>
  <si>
    <t>Setup Revenue</t>
  </si>
  <si>
    <t>Hosting Revenue</t>
  </si>
  <si>
    <t>Rental Revenue Y1 New clients</t>
  </si>
  <si>
    <t>Total Rental Revenue</t>
  </si>
  <si>
    <t>Cumulative Clients</t>
  </si>
  <si>
    <t>Year summary</t>
  </si>
  <si>
    <t>Buy</t>
  </si>
  <si>
    <t>Setup revenue</t>
  </si>
  <si>
    <t>Rent</t>
  </si>
  <si>
    <t>Hosting revenue</t>
  </si>
  <si>
    <t>Rental revenue</t>
  </si>
  <si>
    <t>Total revenue</t>
  </si>
  <si>
    <t>TOTAL</t>
  </si>
  <si>
    <t>total injecté dans la pool</t>
  </si>
  <si>
    <t>Rental % clients</t>
  </si>
  <si>
    <t>Nb of tokens for rental /New clients</t>
  </si>
  <si>
    <t>Cumulative Tokens for Rental</t>
  </si>
  <si>
    <t>Year 2027 – client inputs &amp; revenues</t>
  </si>
  <si>
    <t>Year 2028 – client inputs &amp; revenues</t>
  </si>
  <si>
    <t>Year 2029 – client inputs &amp; revenues</t>
  </si>
  <si>
    <t>Year 2030 – client inputs &amp; revenues</t>
  </si>
  <si>
    <t>Revenue summary &amp; token trajectory (2026–2030) - With 80% rent</t>
  </si>
  <si>
    <t>Total Clients</t>
  </si>
  <si>
    <t>Setup (€)</t>
  </si>
  <si>
    <t>Hosting (€)</t>
  </si>
  <si>
    <t>Rental (€)</t>
  </si>
  <si>
    <t>Total (€)</t>
  </si>
  <si>
    <t>Recurring %</t>
  </si>
  <si>
    <t>Market Cap (1B tokens, €)</t>
  </si>
  <si>
    <t>How to use this simulator</t>
  </si>
  <si>
    <t>1) Update token prices, thresholds and pricing in 'Assumptions'.</t>
  </si>
  <si>
    <t>2) Year tabs are pre-populated with mixes from Business Model Summary V10 (you can overwrite).</t>
  </si>
  <si>
    <t>3) 'Summary' aggregates revenues, recurring %, and token trajectory.</t>
  </si>
  <si>
    <t>Notes:</t>
  </si>
  <si>
    <t>• Adjusted tokens per year = Initial tokens × (1 – threshold reduction)^years since 2026.</t>
  </si>
  <si>
    <t>• Hosting revenue = cumulative clients × annual hosting fee.</t>
  </si>
  <si>
    <t>• Rental revenue = new Rent clients × rental rate × stake value (onboarding year).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</si>
</sst>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#,##0.000\ [$€-1]"/>
    <numFmt numFmtId="165" formatCode="#,##0.00\ [$€-1]"/>
    <numFmt numFmtId="166" formatCode="#,##0\ [$€-1]"/>
    <numFmt numFmtId="167" formatCode="#,##0.0000"/>
    <numFmt numFmtId="168" formatCode="_ * #,##0_)_ ;_ * \(#,##0\)_ ;_ * &quot;-&quot;??_)_ ;_ @_ "/>
    <numFmt numFmtId="169" formatCode="#,##0\€"/>
  </numFmts>
  <fonts count="9">
    <font>
      <sz val="11.0"/>
      <color theme="1"/>
      <name val="Calibri"/>
      <scheme val="minor"/>
    </font>
    <font>
      <b/>
      <sz val="14.0"/>
      <color theme="1"/>
      <name val="Calibri"/>
    </font>
    <font>
      <i/>
      <sz val="11.0"/>
      <color rgb="FF666666"/>
      <name val="Calibri"/>
    </font>
    <font>
      <sz val="11.0"/>
      <color theme="1"/>
      <name val="Calibri"/>
    </font>
    <font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  <font>
      <i/>
      <sz val="11.0"/>
      <color theme="1"/>
      <name val="Calibri"/>
    </font>
    <font>
      <b/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D6E3BC"/>
        <bgColor rgb="FFD6E3BC"/>
      </patternFill>
    </fill>
    <fill>
      <patternFill patternType="solid">
        <fgColor rgb="FFC2D69B"/>
        <bgColor rgb="FFC2D69B"/>
      </patternFill>
    </fill>
    <fill>
      <patternFill patternType="solid">
        <fgColor rgb="FFD8D8D8"/>
        <bgColor rgb="FFD8D8D8"/>
      </patternFill>
    </fill>
  </fills>
  <borders count="6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Border="1" applyFill="1" applyFont="1"/>
    <xf borderId="0" fillId="0" fontId="4" numFmtId="0" xfId="0" applyFont="1"/>
    <xf borderId="2" fillId="3" fontId="5" numFmtId="0" xfId="0" applyBorder="1" applyFill="1" applyFont="1"/>
    <xf borderId="0" fillId="0" fontId="6" numFmtId="0" xfId="0" applyAlignment="1" applyFont="1">
      <alignment readingOrder="0"/>
    </xf>
    <xf borderId="2" fillId="3" fontId="5" numFmtId="0" xfId="0" applyAlignment="1" applyBorder="1" applyFont="1">
      <alignment readingOrder="0"/>
    </xf>
    <xf borderId="0" fillId="4" fontId="6" numFmtId="0" xfId="0" applyAlignment="1" applyFill="1" applyFont="1">
      <alignment readingOrder="0"/>
    </xf>
    <xf borderId="1" fillId="2" fontId="3" numFmtId="164" xfId="0" applyAlignment="1" applyBorder="1" applyFont="1" applyNumberFormat="1">
      <alignment readingOrder="0"/>
    </xf>
    <xf borderId="0" fillId="0" fontId="6" numFmtId="165" xfId="0" applyFont="1" applyNumberFormat="1"/>
    <xf borderId="0" fillId="0" fontId="6" numFmtId="164" xfId="0" applyAlignment="1" applyFont="1" applyNumberFormat="1">
      <alignment readingOrder="0"/>
    </xf>
    <xf borderId="0" fillId="0" fontId="6" numFmtId="166" xfId="0" applyFont="1" applyNumberFormat="1"/>
    <xf borderId="0" fillId="4" fontId="6" numFmtId="166" xfId="0" applyAlignment="1" applyFont="1" applyNumberFormat="1">
      <alignment readingOrder="0"/>
    </xf>
    <xf borderId="0" fillId="4" fontId="6" numFmtId="164" xfId="0" applyAlignment="1" applyFont="1" applyNumberFormat="1">
      <alignment readingOrder="0"/>
    </xf>
    <xf borderId="0" fillId="4" fontId="6" numFmtId="3" xfId="0" applyAlignment="1" applyFont="1" applyNumberFormat="1">
      <alignment readingOrder="0"/>
    </xf>
    <xf borderId="0" fillId="4" fontId="6" numFmtId="0" xfId="0" applyFont="1"/>
    <xf borderId="0" fillId="4" fontId="6" numFmtId="166" xfId="0" applyFont="1" applyNumberFormat="1"/>
    <xf borderId="0" fillId="0" fontId="3" numFmtId="9" xfId="0" applyFont="1" applyNumberFormat="1"/>
    <xf borderId="0" fillId="0" fontId="6" numFmtId="165" xfId="0" applyAlignment="1" applyFont="1" applyNumberFormat="1">
      <alignment readingOrder="0"/>
    </xf>
    <xf borderId="0" fillId="0" fontId="6" numFmtId="165" xfId="0" applyAlignment="1" applyFont="1" applyNumberFormat="1">
      <alignment readingOrder="0"/>
    </xf>
    <xf borderId="0" fillId="4" fontId="6" numFmtId="165" xfId="0" applyFont="1" applyNumberFormat="1"/>
    <xf borderId="1" fillId="2" fontId="3" numFmtId="165" xfId="0" applyBorder="1" applyFont="1" applyNumberFormat="1"/>
    <xf borderId="0" fillId="4" fontId="6" numFmtId="3" xfId="0" applyFont="1" applyNumberFormat="1"/>
    <xf borderId="1" fillId="2" fontId="3" numFmtId="167" xfId="0" applyBorder="1" applyFont="1" applyNumberFormat="1"/>
    <xf borderId="0" fillId="0" fontId="5" numFmtId="0" xfId="0" applyFont="1"/>
    <xf borderId="1" fillId="2" fontId="3" numFmtId="168" xfId="0" applyBorder="1" applyFont="1" applyNumberFormat="1"/>
    <xf borderId="0" fillId="0" fontId="7" numFmtId="9" xfId="0" applyFont="1" applyNumberFormat="1"/>
    <xf borderId="0" fillId="0" fontId="3" numFmtId="168" xfId="0" applyFont="1" applyNumberFormat="1"/>
    <xf borderId="0" fillId="0" fontId="7" numFmtId="0" xfId="0" applyFont="1"/>
    <xf borderId="0" fillId="5" fontId="6" numFmtId="0" xfId="0" applyFill="1" applyFont="1"/>
    <xf borderId="1" fillId="2" fontId="3" numFmtId="169" xfId="0" applyBorder="1" applyFont="1" applyNumberFormat="1"/>
    <xf borderId="0" fillId="0" fontId="3" numFmtId="169" xfId="0" applyFont="1" applyNumberFormat="1"/>
    <xf borderId="1" fillId="2" fontId="3" numFmtId="169" xfId="0" applyAlignment="1" applyBorder="1" applyFont="1" applyNumberFormat="1">
      <alignment readingOrder="0"/>
    </xf>
    <xf borderId="1" fillId="2" fontId="3" numFmtId="9" xfId="0" applyBorder="1" applyFont="1" applyNumberFormat="1"/>
    <xf borderId="1" fillId="6" fontId="3" numFmtId="0" xfId="0" applyBorder="1" applyFill="1" applyFont="1"/>
    <xf borderId="1" fillId="2" fontId="3" numFmtId="1" xfId="0" applyBorder="1" applyFont="1" applyNumberFormat="1"/>
    <xf borderId="1" fillId="6" fontId="3" numFmtId="169" xfId="0" applyBorder="1" applyFont="1" applyNumberFormat="1"/>
    <xf borderId="1" fillId="6" fontId="3" numFmtId="167" xfId="0" applyBorder="1" applyFont="1" applyNumberFormat="1"/>
    <xf borderId="1" fillId="6" fontId="3" numFmtId="168" xfId="0" applyBorder="1" applyFont="1" applyNumberFormat="1"/>
    <xf borderId="1" fillId="6" fontId="3" numFmtId="9" xfId="0" applyBorder="1" applyFont="1" applyNumberFormat="1"/>
    <xf borderId="1" fillId="6" fontId="3" numFmtId="1" xfId="0" applyBorder="1" applyFont="1" applyNumberFormat="1"/>
    <xf borderId="0" fillId="0" fontId="3" numFmtId="9" xfId="0" applyAlignment="1" applyFont="1" applyNumberFormat="1">
      <alignment horizontal="center"/>
    </xf>
    <xf borderId="0" fillId="0" fontId="3" numFmtId="167" xfId="0" applyFont="1" applyNumberFormat="1"/>
    <xf borderId="0" fillId="0" fontId="3" numFmtId="1" xfId="0" applyFont="1" applyNumberFormat="1"/>
    <xf borderId="0" fillId="0" fontId="5" numFmtId="169" xfId="0" applyFont="1" applyNumberFormat="1"/>
    <xf borderId="1" fillId="7" fontId="3" numFmtId="0" xfId="0" applyBorder="1" applyFill="1" applyFont="1"/>
    <xf borderId="1" fillId="7" fontId="3" numFmtId="169" xfId="0" applyBorder="1" applyFont="1" applyNumberFormat="1"/>
    <xf borderId="1" fillId="7" fontId="3" numFmtId="167" xfId="0" applyBorder="1" applyFont="1" applyNumberFormat="1"/>
    <xf borderId="1" fillId="7" fontId="3" numFmtId="168" xfId="0" applyBorder="1" applyFont="1" applyNumberFormat="1"/>
    <xf borderId="1" fillId="7" fontId="3" numFmtId="9" xfId="0" applyBorder="1" applyFont="1" applyNumberFormat="1"/>
    <xf borderId="1" fillId="7" fontId="3" numFmtId="1" xfId="0" applyBorder="1" applyFont="1" applyNumberFormat="1"/>
    <xf borderId="2" fillId="8" fontId="5" numFmtId="1" xfId="0" applyBorder="1" applyFill="1" applyFont="1" applyNumberFormat="1"/>
    <xf borderId="3" fillId="8" fontId="5" numFmtId="169" xfId="0" applyBorder="1" applyFont="1" applyNumberFormat="1"/>
    <xf borderId="4" fillId="8" fontId="5" numFmtId="169" xfId="0" applyBorder="1" applyFont="1" applyNumberFormat="1"/>
    <xf borderId="5" fillId="8" fontId="5" numFmtId="169" xfId="0" applyBorder="1" applyFont="1" applyNumberFormat="1"/>
    <xf borderId="0" fillId="0" fontId="6" numFmtId="169" xfId="0" applyFont="1" applyNumberFormat="1"/>
    <xf borderId="0" fillId="0" fontId="8" numFmtId="169" xfId="0" applyFont="1" applyNumberFormat="1"/>
    <xf borderId="2" fillId="8" fontId="8" numFmtId="1" xfId="0" applyBorder="1" applyFont="1" applyNumberFormat="1"/>
    <xf borderId="3" fillId="8" fontId="8" numFmtId="169" xfId="0" applyBorder="1" applyFont="1" applyNumberFormat="1"/>
    <xf borderId="4" fillId="8" fontId="8" numFmtId="169" xfId="0" applyBorder="1" applyFont="1" applyNumberFormat="1"/>
    <xf borderId="5" fillId="8" fontId="8" numFmtId="169" xfId="0" applyBorder="1" applyFont="1" applyNumberFormat="1"/>
    <xf borderId="0" fillId="0" fontId="3" numFmtId="3" xfId="0" applyFont="1" applyNumberFormat="1"/>
    <xf borderId="2" fillId="8" fontId="3" numFmtId="3" xfId="0" applyBorder="1" applyFont="1" applyNumberFormat="1"/>
    <xf borderId="2" fillId="8" fontId="3" numFmtId="169" xfId="0" applyBorder="1" applyFont="1" applyNumberFormat="1"/>
    <xf borderId="2" fillId="8" fontId="5" numFmtId="169" xfId="0" applyBorder="1" applyFont="1" applyNumberFormat="1"/>
    <xf borderId="2" fillId="8" fontId="5" numFmtId="9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Revenue split 2026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Setup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'2026'!$P$5</c:f>
            </c:strRef>
          </c:cat>
          <c:val>
            <c:numRef>
              <c:f>'2026'!$Q$5</c:f>
              <c:numCache/>
            </c:numRef>
          </c:val>
        </c:ser>
        <c:ser>
          <c:idx val="1"/>
          <c:order val="1"/>
          <c:tx>
            <c:v>Hosting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'2026'!$P$5</c:f>
            </c:strRef>
          </c:cat>
          <c:val>
            <c:numRef>
              <c:f>'2026'!$Q$6</c:f>
              <c:numCache/>
            </c:numRef>
          </c:val>
        </c:ser>
        <c:ser>
          <c:idx val="2"/>
          <c:order val="2"/>
          <c:tx>
            <c:v>Rental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'2026'!$P$5</c:f>
            </c:strRef>
          </c:cat>
          <c:val>
            <c:numRef>
              <c:f>'2026'!$Q$7</c:f>
              <c:numCache/>
            </c:numRef>
          </c:val>
        </c:ser>
        <c:axId val="285836603"/>
        <c:axId val="1193235870"/>
      </c:barChart>
      <c:catAx>
        <c:axId val="2858366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193235870"/>
      </c:catAx>
      <c:valAx>
        <c:axId val="11932358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\€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85836603"/>
      </c:valAx>
    </c:plotArea>
    <c:legend>
      <c:legendPos val="b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Revenue split 2027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Setup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'2027'!$P$5</c:f>
            </c:strRef>
          </c:cat>
          <c:val>
            <c:numRef>
              <c:f>'2027'!$Q$5</c:f>
              <c:numCache/>
            </c:numRef>
          </c:val>
        </c:ser>
        <c:ser>
          <c:idx val="1"/>
          <c:order val="1"/>
          <c:tx>
            <c:v>Hosting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'2027'!$P$5</c:f>
            </c:strRef>
          </c:cat>
          <c:val>
            <c:numRef>
              <c:f>'2027'!$Q$6</c:f>
              <c:numCache/>
            </c:numRef>
          </c:val>
        </c:ser>
        <c:ser>
          <c:idx val="2"/>
          <c:order val="2"/>
          <c:tx>
            <c:v>Rental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'2027'!$P$5</c:f>
            </c:strRef>
          </c:cat>
          <c:val>
            <c:numRef>
              <c:f>'2027'!$Q$7</c:f>
              <c:numCache/>
            </c:numRef>
          </c:val>
        </c:ser>
        <c:axId val="484603541"/>
        <c:axId val="65790988"/>
      </c:barChart>
      <c:catAx>
        <c:axId val="4846035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65790988"/>
      </c:catAx>
      <c:valAx>
        <c:axId val="657909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\€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484603541"/>
      </c:valAx>
    </c:plotArea>
    <c:legend>
      <c:legendPos val="b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Revenue split 2028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Setup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'2028'!$P$5</c:f>
            </c:strRef>
          </c:cat>
          <c:val>
            <c:numRef>
              <c:f>'2028'!$Q$5</c:f>
              <c:numCache/>
            </c:numRef>
          </c:val>
        </c:ser>
        <c:ser>
          <c:idx val="1"/>
          <c:order val="1"/>
          <c:tx>
            <c:v>Hosting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'2028'!$P$5</c:f>
            </c:strRef>
          </c:cat>
          <c:val>
            <c:numRef>
              <c:f>'2028'!$Q$6</c:f>
              <c:numCache/>
            </c:numRef>
          </c:val>
        </c:ser>
        <c:ser>
          <c:idx val="2"/>
          <c:order val="2"/>
          <c:tx>
            <c:v>Rental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'2028'!$P$5</c:f>
            </c:strRef>
          </c:cat>
          <c:val>
            <c:numRef>
              <c:f>'2028'!$Q$7</c:f>
              <c:numCache/>
            </c:numRef>
          </c:val>
        </c:ser>
        <c:axId val="663669077"/>
        <c:axId val="156430481"/>
      </c:barChart>
      <c:catAx>
        <c:axId val="6636690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56430481"/>
      </c:catAx>
      <c:valAx>
        <c:axId val="1564304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\€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663669077"/>
      </c:valAx>
    </c:plotArea>
    <c:legend>
      <c:legendPos val="b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Revenue split 2029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Setup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'2029'!$P$5</c:f>
            </c:strRef>
          </c:cat>
          <c:val>
            <c:numRef>
              <c:f>'2029'!$Q$5</c:f>
              <c:numCache/>
            </c:numRef>
          </c:val>
        </c:ser>
        <c:ser>
          <c:idx val="1"/>
          <c:order val="1"/>
          <c:tx>
            <c:v>Hosting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'2029'!$P$5</c:f>
            </c:strRef>
          </c:cat>
          <c:val>
            <c:numRef>
              <c:f>'2029'!$Q$6</c:f>
              <c:numCache/>
            </c:numRef>
          </c:val>
        </c:ser>
        <c:ser>
          <c:idx val="2"/>
          <c:order val="2"/>
          <c:tx>
            <c:v>Rental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'2029'!$P$5</c:f>
            </c:strRef>
          </c:cat>
          <c:val>
            <c:numRef>
              <c:f>'2029'!$Q$7</c:f>
              <c:numCache/>
            </c:numRef>
          </c:val>
        </c:ser>
        <c:axId val="1443733744"/>
        <c:axId val="198793138"/>
      </c:barChart>
      <c:catAx>
        <c:axId val="14437337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98793138"/>
      </c:catAx>
      <c:valAx>
        <c:axId val="1987931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\€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443733744"/>
      </c:valAx>
    </c:plotArea>
    <c:legend>
      <c:legendPos val="b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Revenue split 2030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Setup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'2030'!$P$5</c:f>
            </c:strRef>
          </c:cat>
          <c:val>
            <c:numRef>
              <c:f>'2030'!$Q$5</c:f>
              <c:numCache/>
            </c:numRef>
          </c:val>
        </c:ser>
        <c:ser>
          <c:idx val="1"/>
          <c:order val="1"/>
          <c:tx>
            <c:v>Hosting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'2030'!$P$5</c:f>
            </c:strRef>
          </c:cat>
          <c:val>
            <c:numRef>
              <c:f>'2030'!$Q$6</c:f>
              <c:numCache/>
            </c:numRef>
          </c:val>
        </c:ser>
        <c:ser>
          <c:idx val="2"/>
          <c:order val="2"/>
          <c:tx>
            <c:v>Rental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'2030'!$P$5</c:f>
            </c:strRef>
          </c:cat>
          <c:val>
            <c:numRef>
              <c:f>'2030'!$Q$7</c:f>
              <c:numCache/>
            </c:numRef>
          </c:val>
        </c:ser>
        <c:axId val="1641975074"/>
        <c:axId val="762794444"/>
      </c:barChart>
      <c:catAx>
        <c:axId val="16419750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762794444"/>
      </c:catAx>
      <c:valAx>
        <c:axId val="7627944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\€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641975074"/>
      </c:valAx>
    </c:plotArea>
    <c:legend>
      <c:legendPos val="b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Revenue by stream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Setup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Summary!$A$4:$A$8</c:f>
            </c:strRef>
          </c:cat>
          <c:val>
            <c:numRef>
              <c:f>Summary!$C$4:$C$8</c:f>
              <c:numCache/>
            </c:numRef>
          </c:val>
        </c:ser>
        <c:ser>
          <c:idx val="1"/>
          <c:order val="1"/>
          <c:tx>
            <c:v>Hosting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Summary!$A$4:$A$8</c:f>
            </c:strRef>
          </c:cat>
          <c:val>
            <c:numRef>
              <c:f>Summary!$D$4:$D$8</c:f>
              <c:numCache/>
            </c:numRef>
          </c:val>
        </c:ser>
        <c:ser>
          <c:idx val="2"/>
          <c:order val="2"/>
          <c:tx>
            <c:v>Rental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Summary!$A$4:$A$8</c:f>
            </c:strRef>
          </c:cat>
          <c:val>
            <c:numRef>
              <c:f>Summary!$E$4:$E$8</c:f>
              <c:numCache/>
            </c:numRef>
          </c:val>
        </c:ser>
        <c:axId val="1195455601"/>
        <c:axId val="1607875604"/>
      </c:barChart>
      <c:catAx>
        <c:axId val="11954556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607875604"/>
      </c:catAx>
      <c:valAx>
        <c:axId val="16078756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\€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195455601"/>
      </c:valAx>
    </c:plotArea>
    <c:legend>
      <c:legendPos val="b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Token trajectory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Market Cap (€, 1B tokens)</c:v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Summary!$A$4:$A$8</c:f>
            </c:strRef>
          </c:cat>
          <c:val>
            <c:numRef>
              <c:f>Summary!$I$4:$I$8</c:f>
              <c:numCache/>
            </c:numRef>
          </c:val>
          <c:smooth val="0"/>
        </c:ser>
        <c:axId val="1378189014"/>
        <c:axId val="1471754296"/>
      </c:lineChart>
      <c:catAx>
        <c:axId val="13781890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471754296"/>
      </c:catAx>
      <c:valAx>
        <c:axId val="14717542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\€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378189014"/>
      </c:valAx>
    </c:plotArea>
    <c:legend>
      <c:legendPos val="b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0</xdr:colOff>
      <xdr:row>9</xdr:row>
      <xdr:rowOff>0</xdr:rowOff>
    </xdr:from>
    <xdr:ext cx="6076950" cy="3457575"/>
    <xdr:graphicFrame>
      <xdr:nvGraphicFramePr>
        <xdr:cNvPr id="740149660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0</xdr:colOff>
      <xdr:row>9</xdr:row>
      <xdr:rowOff>0</xdr:rowOff>
    </xdr:from>
    <xdr:ext cx="6124575" cy="3457575"/>
    <xdr:graphicFrame>
      <xdr:nvGraphicFramePr>
        <xdr:cNvPr id="792725958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0</xdr:colOff>
      <xdr:row>9</xdr:row>
      <xdr:rowOff>0</xdr:rowOff>
    </xdr:from>
    <xdr:ext cx="5514975" cy="3457575"/>
    <xdr:graphicFrame>
      <xdr:nvGraphicFramePr>
        <xdr:cNvPr id="445974667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0</xdr:colOff>
      <xdr:row>9</xdr:row>
      <xdr:rowOff>0</xdr:rowOff>
    </xdr:from>
    <xdr:ext cx="5781675" cy="3457575"/>
    <xdr:graphicFrame>
      <xdr:nvGraphicFramePr>
        <xdr:cNvPr id="186632648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0</xdr:colOff>
      <xdr:row>9</xdr:row>
      <xdr:rowOff>0</xdr:rowOff>
    </xdr:from>
    <xdr:ext cx="5886450" cy="3457575"/>
    <xdr:graphicFrame>
      <xdr:nvGraphicFramePr>
        <xdr:cNvPr id="84724647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0</xdr:colOff>
      <xdr:row>2</xdr:row>
      <xdr:rowOff>0</xdr:rowOff>
    </xdr:from>
    <xdr:ext cx="6210300" cy="3457575"/>
    <xdr:graphicFrame>
      <xdr:nvGraphicFramePr>
        <xdr:cNvPr id="1973682818" name="Chart 6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0</xdr:colOff>
      <xdr:row>18</xdr:row>
      <xdr:rowOff>0</xdr:rowOff>
    </xdr:from>
    <xdr:ext cx="6210300" cy="3457575"/>
    <xdr:graphicFrame>
      <xdr:nvGraphicFramePr>
        <xdr:cNvPr id="2086838999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6.71"/>
    <col customWidth="1" min="2" max="2" width="18.71"/>
    <col customWidth="1" min="3" max="3" width="11.71"/>
    <col customWidth="1" min="4" max="4" width="14.57"/>
    <col customWidth="1" min="5" max="5" width="14.14"/>
    <col customWidth="1" min="6" max="6" width="13.14"/>
    <col customWidth="1" min="7" max="7" width="18.86"/>
    <col customWidth="1" min="8" max="8" width="15.29"/>
    <col customWidth="1" min="9" max="9" width="20.86"/>
    <col customWidth="1" min="10" max="12" width="15.29"/>
    <col customWidth="1" min="13" max="13" width="17.71"/>
    <col customWidth="1" min="14" max="14" width="23.43"/>
    <col customWidth="1" min="15" max="25" width="8.86"/>
  </cols>
  <sheetData>
    <row r="1">
      <c r="A1" s="1" t="s">
        <v>0</v>
      </c>
    </row>
    <row r="2">
      <c r="A2" s="2" t="s">
        <v>1</v>
      </c>
      <c r="D2" s="3"/>
      <c r="E2" s="4" t="s">
        <v>2</v>
      </c>
    </row>
    <row r="3">
      <c r="A3" s="5" t="s">
        <v>3</v>
      </c>
      <c r="I3" s="6" t="s">
        <v>4</v>
      </c>
    </row>
    <row r="4">
      <c r="A4" s="5" t="s">
        <v>5</v>
      </c>
      <c r="B4" s="7" t="s">
        <v>6</v>
      </c>
      <c r="C4" s="4" t="s">
        <v>7</v>
      </c>
      <c r="D4" s="6" t="s">
        <v>8</v>
      </c>
      <c r="E4" s="6" t="s">
        <v>9</v>
      </c>
      <c r="F4" s="6" t="s">
        <v>10</v>
      </c>
      <c r="G4" s="7" t="s">
        <v>11</v>
      </c>
      <c r="H4" s="7" t="s">
        <v>12</v>
      </c>
      <c r="I4" s="7" t="s">
        <v>13</v>
      </c>
      <c r="J4" s="8" t="s">
        <v>14</v>
      </c>
      <c r="K4" s="8" t="s">
        <v>15</v>
      </c>
      <c r="L4" s="8" t="s">
        <v>16</v>
      </c>
      <c r="M4" s="8" t="s">
        <v>17</v>
      </c>
      <c r="N4" s="8" t="s">
        <v>18</v>
      </c>
    </row>
    <row r="5">
      <c r="A5" s="4">
        <v>2026.0</v>
      </c>
      <c r="B5" s="9">
        <f>K5</f>
        <v>0.005</v>
      </c>
      <c r="D5" s="10">
        <f>'2026'!H14</f>
        <v>205000</v>
      </c>
      <c r="E5" s="10">
        <f>0.6*D5</f>
        <v>123000</v>
      </c>
      <c r="F5" s="10">
        <f t="shared" ref="F5:F9" si="1">D5-E5</f>
        <v>82000</v>
      </c>
      <c r="G5" s="11">
        <f>B5*(1+F5/J5)</f>
        <v>0.01040825749</v>
      </c>
      <c r="H5" s="12">
        <f t="shared" ref="H5:H9" si="2">B5*1000000000</f>
        <v>5000000</v>
      </c>
      <c r="I5" s="12">
        <f t="shared" ref="I5:I9" si="3">G5*1000000000</f>
        <v>10408257.49</v>
      </c>
      <c r="J5" s="13">
        <v>75810.0</v>
      </c>
      <c r="K5" s="14">
        <v>0.005</v>
      </c>
      <c r="L5" s="15">
        <v>4.0E8</v>
      </c>
      <c r="M5" s="16"/>
      <c r="N5" s="17">
        <f t="shared" ref="N5:N9" si="4">L5*G5</f>
        <v>4163302.994</v>
      </c>
    </row>
    <row r="6">
      <c r="A6" s="4">
        <v>2027.0</v>
      </c>
      <c r="B6" s="9">
        <f t="shared" ref="B6:B9" si="5">G5</f>
        <v>0.01040825749</v>
      </c>
      <c r="C6" s="18">
        <f>TokenPrice2027/TokenPrice2026-1</f>
        <v>1.081651497</v>
      </c>
      <c r="D6" s="19">
        <f>'2027'!H14</f>
        <v>213369.2785</v>
      </c>
      <c r="E6" s="10">
        <f t="shared" ref="E6:E9" si="6">0.5*D6</f>
        <v>106684.6392</v>
      </c>
      <c r="F6" s="10">
        <f t="shared" si="1"/>
        <v>106684.6392</v>
      </c>
      <c r="G6" s="20">
        <f t="shared" ref="G6:G9" si="7">B6*(1+F6/J$5)</f>
        <v>0.02505541742</v>
      </c>
      <c r="H6" s="12">
        <f t="shared" si="2"/>
        <v>10408257.49</v>
      </c>
      <c r="I6" s="12">
        <f t="shared" si="3"/>
        <v>25055417.42</v>
      </c>
      <c r="J6" s="17">
        <f t="shared" ref="J6:J9" si="8">F6+J5</f>
        <v>182494.6392</v>
      </c>
      <c r="K6" s="21">
        <f t="shared" ref="K6:K9" si="9">G6</f>
        <v>0.02505541742</v>
      </c>
      <c r="L6" s="15">
        <v>4.0E8</v>
      </c>
      <c r="M6" s="16"/>
      <c r="N6" s="17">
        <f t="shared" si="4"/>
        <v>10022166.97</v>
      </c>
    </row>
    <row r="7">
      <c r="A7" s="4">
        <v>2028.0</v>
      </c>
      <c r="B7" s="22">
        <f t="shared" si="5"/>
        <v>0.02505541742</v>
      </c>
      <c r="C7" s="18">
        <f>TokenPrice2028/TokenPrice2027-1</f>
        <v>1.407263412</v>
      </c>
      <c r="D7" s="10">
        <f>'2028'!H14</f>
        <v>256818.0286</v>
      </c>
      <c r="E7" s="10">
        <f t="shared" si="6"/>
        <v>128409.0143</v>
      </c>
      <c r="F7" s="10">
        <f t="shared" si="1"/>
        <v>128409.0143</v>
      </c>
      <c r="G7" s="20">
        <f t="shared" si="7"/>
        <v>0.06749495646</v>
      </c>
      <c r="H7" s="12">
        <f t="shared" si="2"/>
        <v>25055417.42</v>
      </c>
      <c r="I7" s="12">
        <f t="shared" si="3"/>
        <v>67494956.46</v>
      </c>
      <c r="J7" s="17">
        <f t="shared" si="8"/>
        <v>310903.6535</v>
      </c>
      <c r="K7" s="21">
        <f t="shared" si="9"/>
        <v>0.06749495646</v>
      </c>
      <c r="L7" s="15">
        <v>4.0E8</v>
      </c>
      <c r="M7" s="16"/>
      <c r="N7" s="17">
        <f t="shared" si="4"/>
        <v>26997982.58</v>
      </c>
    </row>
    <row r="8">
      <c r="A8" s="4">
        <v>2029.0</v>
      </c>
      <c r="B8" s="22">
        <f t="shared" si="5"/>
        <v>0.06749495646</v>
      </c>
      <c r="C8" s="18">
        <f>TokenPrice2029/TokenPrice2028-1</f>
        <v>1.693826861</v>
      </c>
      <c r="D8" s="10">
        <f>'2029'!H14</f>
        <v>345911.6518</v>
      </c>
      <c r="E8" s="10">
        <f t="shared" si="6"/>
        <v>172955.8259</v>
      </c>
      <c r="F8" s="10">
        <f t="shared" si="1"/>
        <v>172955.8259</v>
      </c>
      <c r="G8" s="20">
        <f t="shared" si="7"/>
        <v>0.2214805248</v>
      </c>
      <c r="H8" s="12">
        <f t="shared" si="2"/>
        <v>67494956.46</v>
      </c>
      <c r="I8" s="12">
        <f t="shared" si="3"/>
        <v>221480524.8</v>
      </c>
      <c r="J8" s="17">
        <f t="shared" si="8"/>
        <v>483859.4794</v>
      </c>
      <c r="K8" s="21">
        <f t="shared" si="9"/>
        <v>0.2214805248</v>
      </c>
      <c r="L8" s="23">
        <f t="shared" ref="L8:L9" si="10">L7-(M8/K8)</f>
        <v>400000000</v>
      </c>
      <c r="M8" s="16"/>
      <c r="N8" s="17">
        <f t="shared" si="4"/>
        <v>88592209.94</v>
      </c>
    </row>
    <row r="9">
      <c r="A9" s="4">
        <v>2030.0</v>
      </c>
      <c r="B9" s="22">
        <f t="shared" si="5"/>
        <v>0.2214805248</v>
      </c>
      <c r="C9" s="18">
        <f>TokenPrice2030/TokenPrice2029-1</f>
        <v>2.281438147</v>
      </c>
      <c r="D9" s="10">
        <f>'2030'!H14</f>
        <v>567543.8449</v>
      </c>
      <c r="E9" s="10">
        <f t="shared" si="6"/>
        <v>283771.9225</v>
      </c>
      <c r="F9" s="10">
        <f t="shared" si="1"/>
        <v>283771.9225</v>
      </c>
      <c r="G9" s="20">
        <f t="shared" si="7"/>
        <v>1.050526222</v>
      </c>
      <c r="H9" s="12">
        <f t="shared" si="2"/>
        <v>221480524.8</v>
      </c>
      <c r="I9" s="12">
        <f t="shared" si="3"/>
        <v>1050526222</v>
      </c>
      <c r="J9" s="17">
        <f t="shared" si="8"/>
        <v>767631.4019</v>
      </c>
      <c r="K9" s="21">
        <f t="shared" si="9"/>
        <v>1.050526222</v>
      </c>
      <c r="L9" s="23">
        <f t="shared" si="10"/>
        <v>400000000</v>
      </c>
      <c r="M9" s="16"/>
      <c r="N9" s="17">
        <f t="shared" si="4"/>
        <v>420210488.9</v>
      </c>
    </row>
    <row r="10">
      <c r="A10" s="4">
        <v>2031.0</v>
      </c>
      <c r="B10" s="24"/>
      <c r="C10" s="18"/>
      <c r="D10" s="10" t="str">
        <f>'2029'!H16</f>
        <v/>
      </c>
      <c r="E10" s="10"/>
      <c r="F10" s="10"/>
      <c r="G10" s="19"/>
    </row>
    <row r="11">
      <c r="A11" s="5" t="s">
        <v>19</v>
      </c>
      <c r="B11" s="25" t="s">
        <v>20</v>
      </c>
      <c r="H11" s="25" t="s">
        <v>21</v>
      </c>
    </row>
    <row r="12">
      <c r="A12" s="5" t="s">
        <v>22</v>
      </c>
      <c r="B12" s="5" t="s">
        <v>23</v>
      </c>
      <c r="C12" s="5" t="s">
        <v>24</v>
      </c>
      <c r="D12" s="5" t="s">
        <v>25</v>
      </c>
      <c r="E12" s="5" t="s">
        <v>26</v>
      </c>
      <c r="F12" s="5" t="s">
        <v>27</v>
      </c>
      <c r="G12" s="5" t="s">
        <v>28</v>
      </c>
      <c r="H12" s="5" t="s">
        <v>29</v>
      </c>
      <c r="I12" s="5" t="s">
        <v>24</v>
      </c>
      <c r="J12" s="5" t="s">
        <v>25</v>
      </c>
      <c r="K12" s="5" t="s">
        <v>26</v>
      </c>
      <c r="L12" s="5" t="s">
        <v>27</v>
      </c>
      <c r="M12" s="5" t="s">
        <v>28</v>
      </c>
    </row>
    <row r="13">
      <c r="A13" s="4" t="s">
        <v>30</v>
      </c>
      <c r="B13" s="26">
        <v>1000000.0</v>
      </c>
      <c r="C13" s="26">
        <f t="shared" ref="C13:F13" si="11">0.5*B13</f>
        <v>500000</v>
      </c>
      <c r="D13" s="26">
        <f t="shared" si="11"/>
        <v>250000</v>
      </c>
      <c r="E13" s="26">
        <f t="shared" si="11"/>
        <v>125000</v>
      </c>
      <c r="F13" s="26">
        <f t="shared" si="11"/>
        <v>62500</v>
      </c>
      <c r="G13" s="27">
        <f t="shared" ref="G13:G16" si="13">(F13/B13)^(1/4)-1</f>
        <v>-0.5</v>
      </c>
      <c r="H13" s="28">
        <f t="shared" ref="H13:H16" si="14">B13*B$5</f>
        <v>5000</v>
      </c>
      <c r="I13" s="28">
        <f t="shared" ref="I13:I16" si="15">C13*B$6</f>
        <v>5204.128743</v>
      </c>
      <c r="J13" s="28">
        <f t="shared" ref="J13:J16" si="16">D13*B$7</f>
        <v>6263.854356</v>
      </c>
      <c r="K13" s="28">
        <f t="shared" ref="K13:K16" si="17">E13*B$8</f>
        <v>8436.869557</v>
      </c>
      <c r="L13" s="28">
        <f t="shared" ref="L13:L16" si="18">F13*B$9</f>
        <v>13842.5328</v>
      </c>
      <c r="M13" s="27">
        <f t="shared" ref="M13:M16" si="19">(L13/H13)^(1/4)-1</f>
        <v>0.2899158797</v>
      </c>
    </row>
    <row r="14">
      <c r="A14" s="4" t="s">
        <v>7</v>
      </c>
      <c r="B14" s="26">
        <v>3000000.0</v>
      </c>
      <c r="C14" s="26">
        <f t="shared" ref="C14:F14" si="12">0.5*B14</f>
        <v>1500000</v>
      </c>
      <c r="D14" s="26">
        <f t="shared" si="12"/>
        <v>750000</v>
      </c>
      <c r="E14" s="26">
        <f t="shared" si="12"/>
        <v>375000</v>
      </c>
      <c r="F14" s="26">
        <f t="shared" si="12"/>
        <v>187500</v>
      </c>
      <c r="G14" s="27">
        <f t="shared" si="13"/>
        <v>-0.5</v>
      </c>
      <c r="H14" s="28">
        <f t="shared" si="14"/>
        <v>15000</v>
      </c>
      <c r="I14" s="28">
        <f t="shared" si="15"/>
        <v>15612.38623</v>
      </c>
      <c r="J14" s="28">
        <f t="shared" si="16"/>
        <v>18791.56307</v>
      </c>
      <c r="K14" s="28">
        <f t="shared" si="17"/>
        <v>25310.60867</v>
      </c>
      <c r="L14" s="28">
        <f t="shared" si="18"/>
        <v>41527.59841</v>
      </c>
      <c r="M14" s="27">
        <f t="shared" si="19"/>
        <v>0.2899158797</v>
      </c>
    </row>
    <row r="15">
      <c r="A15" s="4" t="s">
        <v>31</v>
      </c>
      <c r="B15" s="26">
        <v>7500000.0</v>
      </c>
      <c r="C15" s="26">
        <f t="shared" ref="C15:F15" si="20">0.5*B15</f>
        <v>3750000</v>
      </c>
      <c r="D15" s="26">
        <f t="shared" si="20"/>
        <v>1875000</v>
      </c>
      <c r="E15" s="26">
        <f t="shared" si="20"/>
        <v>937500</v>
      </c>
      <c r="F15" s="26">
        <f t="shared" si="20"/>
        <v>468750</v>
      </c>
      <c r="G15" s="27">
        <f t="shared" si="13"/>
        <v>-0.5</v>
      </c>
      <c r="H15" s="28">
        <f t="shared" si="14"/>
        <v>37500</v>
      </c>
      <c r="I15" s="28">
        <f t="shared" si="15"/>
        <v>39030.96557</v>
      </c>
      <c r="J15" s="28">
        <f t="shared" si="16"/>
        <v>46978.90767</v>
      </c>
      <c r="K15" s="28">
        <f t="shared" si="17"/>
        <v>63276.52168</v>
      </c>
      <c r="L15" s="28">
        <f t="shared" si="18"/>
        <v>103818.996</v>
      </c>
      <c r="M15" s="27">
        <f t="shared" si="19"/>
        <v>0.2899158797</v>
      </c>
    </row>
    <row r="16">
      <c r="A16" s="4" t="s">
        <v>32</v>
      </c>
      <c r="B16" s="26">
        <v>9000000.0</v>
      </c>
      <c r="C16" s="26">
        <f t="shared" ref="C16:F16" si="21">0.5*B16</f>
        <v>4500000</v>
      </c>
      <c r="D16" s="26">
        <f t="shared" si="21"/>
        <v>2250000</v>
      </c>
      <c r="E16" s="26">
        <f t="shared" si="21"/>
        <v>1125000</v>
      </c>
      <c r="F16" s="26">
        <f t="shared" si="21"/>
        <v>562500</v>
      </c>
      <c r="G16" s="27">
        <f t="shared" si="13"/>
        <v>-0.5</v>
      </c>
      <c r="H16" s="28">
        <f t="shared" si="14"/>
        <v>45000</v>
      </c>
      <c r="I16" s="28">
        <f t="shared" si="15"/>
        <v>46837.15869</v>
      </c>
      <c r="J16" s="28">
        <f t="shared" si="16"/>
        <v>56374.6892</v>
      </c>
      <c r="K16" s="28">
        <f t="shared" si="17"/>
        <v>75931.82601</v>
      </c>
      <c r="L16" s="28">
        <f t="shared" si="18"/>
        <v>124582.7952</v>
      </c>
      <c r="M16" s="27">
        <f t="shared" si="19"/>
        <v>0.2899158797</v>
      </c>
    </row>
    <row r="17">
      <c r="A17" s="29" t="s">
        <v>33</v>
      </c>
      <c r="B17" s="29"/>
      <c r="C17" s="27">
        <f>C16/EnterpriseTokensInit-1</f>
        <v>-0.5</v>
      </c>
      <c r="D17" s="27">
        <f t="shared" ref="D17:F17" si="22">D16/C16-1</f>
        <v>-0.5</v>
      </c>
      <c r="E17" s="27">
        <f t="shared" si="22"/>
        <v>-0.5</v>
      </c>
      <c r="F17" s="27">
        <f t="shared" si="22"/>
        <v>-0.5</v>
      </c>
      <c r="G17" s="29"/>
      <c r="H17" s="29"/>
      <c r="I17" s="27">
        <f t="shared" ref="I17:L17" si="23">I15/H15-1</f>
        <v>0.04082574858</v>
      </c>
      <c r="J17" s="27">
        <f t="shared" si="23"/>
        <v>0.2036317058</v>
      </c>
      <c r="K17" s="27">
        <f t="shared" si="23"/>
        <v>0.3469134303</v>
      </c>
      <c r="L17" s="27">
        <f t="shared" si="23"/>
        <v>0.6407190735</v>
      </c>
      <c r="M17" s="18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</row>
    <row r="18">
      <c r="D18" s="18"/>
    </row>
    <row r="19">
      <c r="A19" s="5" t="s">
        <v>34</v>
      </c>
    </row>
    <row r="20">
      <c r="A20" s="5" t="s">
        <v>35</v>
      </c>
    </row>
    <row r="21" ht="15.75" customHeight="1">
      <c r="A21" s="18">
        <v>0.1</v>
      </c>
      <c r="H21" s="30"/>
      <c r="I21" s="30"/>
      <c r="J21" s="30"/>
    </row>
    <row r="22" ht="15.75" customHeight="1">
      <c r="H22" s="30"/>
      <c r="I22" s="30"/>
      <c r="J22" s="30"/>
    </row>
    <row r="23" ht="15.75" customHeight="1">
      <c r="A23" s="5" t="s">
        <v>36</v>
      </c>
      <c r="H23" s="30"/>
      <c r="I23" s="30"/>
      <c r="J23" s="30"/>
    </row>
    <row r="24" ht="15.75" customHeight="1">
      <c r="A24" s="5" t="s">
        <v>22</v>
      </c>
      <c r="B24" s="5" t="s">
        <v>37</v>
      </c>
      <c r="H24" s="30"/>
      <c r="I24" s="30"/>
      <c r="J24" s="30"/>
    </row>
    <row r="25" ht="15.75" customHeight="1">
      <c r="A25" s="4" t="s">
        <v>30</v>
      </c>
      <c r="B25" s="31">
        <v>80000.0</v>
      </c>
    </row>
    <row r="26" ht="15.75" customHeight="1">
      <c r="A26" s="4" t="s">
        <v>7</v>
      </c>
      <c r="B26" s="31">
        <v>150000.0</v>
      </c>
    </row>
    <row r="27" ht="15.75" customHeight="1">
      <c r="A27" s="4" t="s">
        <v>31</v>
      </c>
      <c r="B27" s="31">
        <v>200000.0</v>
      </c>
    </row>
    <row r="28" ht="15.75" customHeight="1">
      <c r="A28" s="4" t="s">
        <v>32</v>
      </c>
      <c r="B28" s="31">
        <v>300000.0</v>
      </c>
    </row>
    <row r="29" ht="15.75" customHeight="1"/>
    <row r="30" ht="15.75" customHeight="1">
      <c r="A30" s="5" t="s">
        <v>38</v>
      </c>
    </row>
    <row r="31" ht="15.75" customHeight="1">
      <c r="A31" s="5" t="s">
        <v>22</v>
      </c>
      <c r="B31" s="5" t="s">
        <v>39</v>
      </c>
      <c r="D31" s="4" t="s">
        <v>40</v>
      </c>
    </row>
    <row r="32" ht="15.75" customHeight="1">
      <c r="A32" s="4" t="s">
        <v>30</v>
      </c>
      <c r="B32" s="31">
        <f>3*12000</f>
        <v>36000</v>
      </c>
      <c r="D32" s="32">
        <v>18000.0</v>
      </c>
    </row>
    <row r="33" ht="15.75" customHeight="1">
      <c r="A33" s="4" t="s">
        <v>7</v>
      </c>
      <c r="B33" s="33">
        <v>48000.0</v>
      </c>
      <c r="D33" s="32">
        <v>24000.0</v>
      </c>
    </row>
    <row r="34" ht="15.75" customHeight="1">
      <c r="A34" s="4" t="s">
        <v>31</v>
      </c>
      <c r="B34" s="33">
        <v>72000.0</v>
      </c>
      <c r="D34" s="32">
        <v>36000.0</v>
      </c>
    </row>
    <row r="35" ht="15.75" customHeight="1">
      <c r="A35" s="4" t="s">
        <v>32</v>
      </c>
      <c r="B35" s="31">
        <f>10*12000</f>
        <v>120000</v>
      </c>
      <c r="D35" s="32">
        <v>60000.0</v>
      </c>
    </row>
    <row r="36" ht="15.75" customHeight="1"/>
    <row r="37" ht="15.75" customHeight="1">
      <c r="A37" s="5" t="s">
        <v>41</v>
      </c>
      <c r="B37" s="34">
        <v>1.0</v>
      </c>
    </row>
    <row r="38" ht="15.75" customHeight="1">
      <c r="A38" s="5" t="s">
        <v>42</v>
      </c>
      <c r="B38" s="34">
        <v>0.7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8.71"/>
    <col customWidth="1" min="3" max="3" width="12.71"/>
    <col customWidth="1" min="4" max="5" width="20.71"/>
    <col customWidth="1" min="6" max="6" width="16.71"/>
    <col customWidth="1" min="7" max="7" width="24.0"/>
    <col customWidth="1" min="8" max="8" width="16.71"/>
    <col customWidth="1" min="9" max="10" width="14.71"/>
    <col customWidth="1" min="11" max="15" width="18.71"/>
    <col customWidth="1" min="16" max="16" width="15.43"/>
    <col customWidth="1" min="17" max="17" width="13.71"/>
    <col customWidth="1" min="18" max="26" width="8.86"/>
  </cols>
  <sheetData>
    <row r="1">
      <c r="A1" s="1" t="s">
        <v>43</v>
      </c>
    </row>
    <row r="2">
      <c r="A2" s="2" t="s">
        <v>44</v>
      </c>
      <c r="F2" s="3"/>
      <c r="G2" s="4" t="s">
        <v>2</v>
      </c>
    </row>
    <row r="4">
      <c r="A4" s="5" t="s">
        <v>22</v>
      </c>
      <c r="B4" s="5" t="s">
        <v>45</v>
      </c>
      <c r="C4" s="5" t="s">
        <v>46</v>
      </c>
      <c r="D4" s="5" t="s">
        <v>47</v>
      </c>
      <c r="E4" s="5" t="s">
        <v>48</v>
      </c>
      <c r="F4" s="5" t="s">
        <v>49</v>
      </c>
      <c r="G4" s="5" t="s">
        <v>50</v>
      </c>
      <c r="H4" s="5" t="s">
        <v>51</v>
      </c>
      <c r="I4" s="5" t="s">
        <v>52</v>
      </c>
      <c r="J4" s="5" t="s">
        <v>53</v>
      </c>
      <c r="K4" s="5" t="s">
        <v>54</v>
      </c>
      <c r="L4" s="5" t="s">
        <v>55</v>
      </c>
      <c r="M4" s="5" t="s">
        <v>56</v>
      </c>
      <c r="N4" s="5" t="s">
        <v>57</v>
      </c>
      <c r="O4" s="5" t="s">
        <v>58</v>
      </c>
      <c r="P4" s="5" t="s">
        <v>59</v>
      </c>
    </row>
    <row r="5">
      <c r="A5" s="35" t="s">
        <v>30</v>
      </c>
      <c r="B5" s="35" t="s">
        <v>60</v>
      </c>
      <c r="C5" s="36">
        <v>3.0</v>
      </c>
      <c r="D5" s="37">
        <f>SetupStarter</f>
        <v>80000</v>
      </c>
      <c r="E5" s="37">
        <f>HostStarter</f>
        <v>36000</v>
      </c>
      <c r="F5" s="38">
        <f>TokenPrice2026</f>
        <v>0.005</v>
      </c>
      <c r="G5" s="39">
        <f>StarterTokensInit</f>
        <v>1000000</v>
      </c>
      <c r="H5" s="37">
        <f t="shared" ref="H5:H12" si="1">F5*G5</f>
        <v>5000</v>
      </c>
      <c r="I5" s="40"/>
      <c r="J5" s="40"/>
      <c r="K5" s="37">
        <f t="shared" ref="K5:K12" si="2">C5*D5</f>
        <v>240000</v>
      </c>
      <c r="L5" s="37">
        <f t="shared" ref="L5:L12" si="3">O5*E5</f>
        <v>180000</v>
      </c>
      <c r="M5" s="37"/>
      <c r="N5" s="37"/>
      <c r="O5" s="41">
        <f>2+C5</f>
        <v>5</v>
      </c>
      <c r="P5" s="5" t="s">
        <v>61</v>
      </c>
      <c r="Q5" s="32">
        <f>K13</f>
        <v>980000</v>
      </c>
    </row>
    <row r="6">
      <c r="A6" s="35" t="s">
        <v>30</v>
      </c>
      <c r="B6" s="35" t="s">
        <v>62</v>
      </c>
      <c r="C6" s="36">
        <v>3.0</v>
      </c>
      <c r="D6" s="37">
        <f>SetupStarter</f>
        <v>80000</v>
      </c>
      <c r="E6" s="37">
        <f>HostStarter</f>
        <v>36000</v>
      </c>
      <c r="F6" s="38">
        <f>TokenPrice2026</f>
        <v>0.005</v>
      </c>
      <c r="G6" s="39">
        <f>StarterTokensInit</f>
        <v>1000000</v>
      </c>
      <c r="H6" s="37">
        <f t="shared" si="1"/>
        <v>5000</v>
      </c>
      <c r="I6" s="40">
        <f>RentalRateY1</f>
        <v>1</v>
      </c>
      <c r="J6" s="40">
        <f>RentalRateYn</f>
        <v>0.7</v>
      </c>
      <c r="K6" s="37">
        <f t="shared" si="2"/>
        <v>240000</v>
      </c>
      <c r="L6" s="37">
        <f t="shared" si="3"/>
        <v>108000</v>
      </c>
      <c r="M6" s="37">
        <f>C6*I6*H6</f>
        <v>15000</v>
      </c>
      <c r="N6" s="37">
        <f>M6+(J6*H6*(O6-C6))</f>
        <v>15000</v>
      </c>
      <c r="O6" s="41">
        <f t="shared" ref="O6:O12" si="4">0+C6</f>
        <v>3</v>
      </c>
      <c r="P6" s="5" t="s">
        <v>63</v>
      </c>
      <c r="Q6" s="32">
        <f>L13</f>
        <v>456000</v>
      </c>
      <c r="R6" s="42">
        <f>(Q7+Q6)/Q8</f>
        <v>0.3481875624</v>
      </c>
    </row>
    <row r="7">
      <c r="A7" s="4" t="s">
        <v>7</v>
      </c>
      <c r="B7" s="4" t="s">
        <v>60</v>
      </c>
      <c r="C7" s="36">
        <v>1.0</v>
      </c>
      <c r="D7" s="32">
        <f>SetupGrowth</f>
        <v>150000</v>
      </c>
      <c r="E7" s="32">
        <f>HostGrowth</f>
        <v>48000</v>
      </c>
      <c r="F7" s="43">
        <f>TokenPrice2026</f>
        <v>0.005</v>
      </c>
      <c r="G7" s="28">
        <f>GrowthTokensInit</f>
        <v>3000000</v>
      </c>
      <c r="H7" s="32">
        <f t="shared" si="1"/>
        <v>15000</v>
      </c>
      <c r="I7" s="18"/>
      <c r="J7" s="18"/>
      <c r="K7" s="32">
        <f t="shared" si="2"/>
        <v>150000</v>
      </c>
      <c r="L7" s="32">
        <f t="shared" si="3"/>
        <v>48000</v>
      </c>
      <c r="M7" s="32"/>
      <c r="N7" s="32"/>
      <c r="O7" s="44">
        <f t="shared" si="4"/>
        <v>1</v>
      </c>
      <c r="P7" s="5" t="s">
        <v>64</v>
      </c>
      <c r="Q7" s="32">
        <f>N13</f>
        <v>67500</v>
      </c>
    </row>
    <row r="8">
      <c r="A8" s="4" t="s">
        <v>7</v>
      </c>
      <c r="B8" s="4" t="s">
        <v>62</v>
      </c>
      <c r="C8" s="36">
        <v>1.0</v>
      </c>
      <c r="D8" s="32">
        <f>SetupGrowth</f>
        <v>150000</v>
      </c>
      <c r="E8" s="32">
        <f>HostGrowth</f>
        <v>48000</v>
      </c>
      <c r="F8" s="43">
        <f>TokenPrice2026</f>
        <v>0.005</v>
      </c>
      <c r="G8" s="28">
        <f>GrowthTokensInit</f>
        <v>3000000</v>
      </c>
      <c r="H8" s="32">
        <f t="shared" si="1"/>
        <v>15000</v>
      </c>
      <c r="I8" s="18">
        <f>RentalRateY1</f>
        <v>1</v>
      </c>
      <c r="J8" s="18">
        <f>RentalRateYn</f>
        <v>0.7</v>
      </c>
      <c r="K8" s="32">
        <f t="shared" si="2"/>
        <v>150000</v>
      </c>
      <c r="L8" s="32">
        <f t="shared" si="3"/>
        <v>48000</v>
      </c>
      <c r="M8" s="32">
        <f>C8*I8*H8</f>
        <v>15000</v>
      </c>
      <c r="N8" s="32">
        <f>M8+(J8*H8*(O8-C8))</f>
        <v>15000</v>
      </c>
      <c r="O8" s="44">
        <f t="shared" si="4"/>
        <v>1</v>
      </c>
      <c r="P8" s="5" t="s">
        <v>65</v>
      </c>
      <c r="Q8" s="45">
        <f>SUM(Q5:Q7)</f>
        <v>1503500</v>
      </c>
    </row>
    <row r="9">
      <c r="A9" s="46" t="s">
        <v>31</v>
      </c>
      <c r="B9" s="46" t="s">
        <v>60</v>
      </c>
      <c r="C9" s="36">
        <v>0.0</v>
      </c>
      <c r="D9" s="47">
        <f>SetupScale</f>
        <v>200000</v>
      </c>
      <c r="E9" s="47">
        <f>HostScale</f>
        <v>72000</v>
      </c>
      <c r="F9" s="48">
        <f>TokenPrice2026</f>
        <v>0.005</v>
      </c>
      <c r="G9" s="49">
        <f>ScaleTokensInit</f>
        <v>7500000</v>
      </c>
      <c r="H9" s="47">
        <f t="shared" si="1"/>
        <v>37500</v>
      </c>
      <c r="I9" s="50"/>
      <c r="J9" s="50"/>
      <c r="K9" s="47">
        <f t="shared" si="2"/>
        <v>0</v>
      </c>
      <c r="L9" s="47">
        <f t="shared" si="3"/>
        <v>0</v>
      </c>
      <c r="M9" s="47"/>
      <c r="N9" s="47"/>
      <c r="O9" s="51">
        <f t="shared" si="4"/>
        <v>0</v>
      </c>
    </row>
    <row r="10">
      <c r="A10" s="46" t="s">
        <v>31</v>
      </c>
      <c r="B10" s="46" t="s">
        <v>62</v>
      </c>
      <c r="C10" s="36">
        <v>1.0</v>
      </c>
      <c r="D10" s="47">
        <f>SetupScale</f>
        <v>200000</v>
      </c>
      <c r="E10" s="47">
        <f>HostScale</f>
        <v>72000</v>
      </c>
      <c r="F10" s="48">
        <f>TokenPrice2026</f>
        <v>0.005</v>
      </c>
      <c r="G10" s="49">
        <f>ScaleTokensInit</f>
        <v>7500000</v>
      </c>
      <c r="H10" s="47">
        <f t="shared" si="1"/>
        <v>37500</v>
      </c>
      <c r="I10" s="40">
        <f>RentalRateY1</f>
        <v>1</v>
      </c>
      <c r="J10" s="40">
        <f>RentalRateYn</f>
        <v>0.7</v>
      </c>
      <c r="K10" s="47">
        <f t="shared" si="2"/>
        <v>200000</v>
      </c>
      <c r="L10" s="47">
        <f t="shared" si="3"/>
        <v>72000</v>
      </c>
      <c r="M10" s="37">
        <f>C10*I10*H10</f>
        <v>37500</v>
      </c>
      <c r="N10" s="37">
        <f>M10+(J10*H10*(O10-C10))</f>
        <v>37500</v>
      </c>
      <c r="O10" s="51">
        <f t="shared" si="4"/>
        <v>1</v>
      </c>
    </row>
    <row r="11">
      <c r="A11" s="4" t="s">
        <v>32</v>
      </c>
      <c r="B11" s="4" t="s">
        <v>60</v>
      </c>
      <c r="C11" s="36">
        <v>0.0</v>
      </c>
      <c r="D11" s="32">
        <f>SetupEnterprise</f>
        <v>300000</v>
      </c>
      <c r="E11" s="32">
        <f>HostEnterprise</f>
        <v>120000</v>
      </c>
      <c r="F11" s="43">
        <f>TokenPrice2026</f>
        <v>0.005</v>
      </c>
      <c r="G11" s="28">
        <f>EnterpriseTokensInit</f>
        <v>9000000</v>
      </c>
      <c r="H11" s="32">
        <f t="shared" si="1"/>
        <v>45000</v>
      </c>
      <c r="I11" s="18"/>
      <c r="J11" s="18"/>
      <c r="K11" s="32">
        <f t="shared" si="2"/>
        <v>0</v>
      </c>
      <c r="L11" s="32">
        <f t="shared" si="3"/>
        <v>0</v>
      </c>
      <c r="M11" s="32"/>
      <c r="N11" s="32"/>
      <c r="O11" s="44">
        <f t="shared" si="4"/>
        <v>0</v>
      </c>
    </row>
    <row r="12">
      <c r="A12" s="4" t="s">
        <v>32</v>
      </c>
      <c r="B12" s="4" t="s">
        <v>62</v>
      </c>
      <c r="C12" s="36">
        <v>0.0</v>
      </c>
      <c r="D12" s="32">
        <f>SetupEnterprise</f>
        <v>300000</v>
      </c>
      <c r="E12" s="32">
        <f>HostEnterprise</f>
        <v>120000</v>
      </c>
      <c r="F12" s="43">
        <f>TokenPrice2026</f>
        <v>0.005</v>
      </c>
      <c r="G12" s="28">
        <f>EnterpriseTokensInit</f>
        <v>9000000</v>
      </c>
      <c r="H12" s="32">
        <f t="shared" si="1"/>
        <v>45000</v>
      </c>
      <c r="I12" s="18">
        <f>RentalRateY1</f>
        <v>1</v>
      </c>
      <c r="J12" s="18">
        <f>RentalRateYn</f>
        <v>0.7</v>
      </c>
      <c r="K12" s="32">
        <f t="shared" si="2"/>
        <v>0</v>
      </c>
      <c r="L12" s="32">
        <f t="shared" si="3"/>
        <v>0</v>
      </c>
      <c r="M12" s="32">
        <f>C12*I12*H12</f>
        <v>0</v>
      </c>
      <c r="N12" s="32">
        <f>M12+(J12*H12*(O12-C12))</f>
        <v>0</v>
      </c>
      <c r="O12" s="44">
        <f t="shared" si="4"/>
        <v>0</v>
      </c>
    </row>
    <row r="13">
      <c r="A13" s="5" t="s">
        <v>66</v>
      </c>
      <c r="C13" s="52">
        <f>SUM(C5:C12)</f>
        <v>9</v>
      </c>
      <c r="K13" s="53">
        <f t="shared" ref="K13:L13" si="5">SUM(K5:K12)</f>
        <v>980000</v>
      </c>
      <c r="L13" s="54">
        <f t="shared" si="5"/>
        <v>456000</v>
      </c>
      <c r="M13" s="54"/>
      <c r="N13" s="55">
        <f t="shared" ref="N13:O13" si="6">SUM(N5:N12)</f>
        <v>67500</v>
      </c>
      <c r="O13" s="52">
        <f t="shared" si="6"/>
        <v>11</v>
      </c>
    </row>
    <row r="14">
      <c r="G14" s="6" t="s">
        <v>67</v>
      </c>
      <c r="H14" s="56">
        <f>sum(H5:H12)</f>
        <v>205000</v>
      </c>
    </row>
    <row r="15">
      <c r="A15" s="4" t="s">
        <v>68</v>
      </c>
      <c r="C15" s="18">
        <f>(C6+C8+C12+C10)/C13</f>
        <v>0.5555555556</v>
      </c>
    </row>
    <row r="17">
      <c r="A17" s="4" t="s">
        <v>69</v>
      </c>
      <c r="C17" s="28">
        <f>G6*C6+G8*C8+G10*C10+G12*C12</f>
        <v>13500000</v>
      </c>
    </row>
    <row r="18">
      <c r="A18" s="4" t="s">
        <v>70</v>
      </c>
      <c r="C18" s="28">
        <f>C17</f>
        <v>13500000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R6:R7"/>
  </mergeCells>
  <dataValidations>
    <dataValidation type="decimal" operator="greaterThanOrEqual" allowBlank="1" showErrorMessage="1" sqref="C5:C12">
      <formula1>0.0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8.71"/>
    <col customWidth="1" min="3" max="3" width="12.71"/>
    <col customWidth="1" min="4" max="5" width="20.71"/>
    <col customWidth="1" min="6" max="8" width="16.71"/>
    <col customWidth="1" min="9" max="10" width="14.71"/>
    <col customWidth="1" min="11" max="15" width="18.71"/>
    <col customWidth="1" min="16" max="16" width="8.86"/>
    <col customWidth="1" min="17" max="17" width="21.0"/>
    <col customWidth="1" min="18" max="26" width="8.86"/>
  </cols>
  <sheetData>
    <row r="1">
      <c r="A1" s="1" t="s">
        <v>71</v>
      </c>
    </row>
    <row r="2">
      <c r="A2" s="2" t="s">
        <v>44</v>
      </c>
      <c r="F2" s="3"/>
      <c r="G2" s="4" t="s">
        <v>2</v>
      </c>
    </row>
    <row r="4">
      <c r="A4" s="5" t="s">
        <v>22</v>
      </c>
      <c r="B4" s="5" t="s">
        <v>45</v>
      </c>
      <c r="C4" s="5" t="s">
        <v>46</v>
      </c>
      <c r="D4" s="5" t="s">
        <v>47</v>
      </c>
      <c r="E4" s="5" t="s">
        <v>48</v>
      </c>
      <c r="F4" s="5" t="s">
        <v>49</v>
      </c>
      <c r="G4" s="5" t="s">
        <v>50</v>
      </c>
      <c r="H4" s="5" t="s">
        <v>51</v>
      </c>
      <c r="I4" s="5" t="s">
        <v>52</v>
      </c>
      <c r="J4" s="5" t="s">
        <v>53</v>
      </c>
      <c r="K4" s="5" t="s">
        <v>54</v>
      </c>
      <c r="L4" s="5" t="s">
        <v>55</v>
      </c>
      <c r="M4" s="5" t="s">
        <v>56</v>
      </c>
      <c r="N4" s="5" t="s">
        <v>57</v>
      </c>
      <c r="O4" s="5" t="s">
        <v>58</v>
      </c>
      <c r="P4" s="5" t="s">
        <v>59</v>
      </c>
    </row>
    <row r="5">
      <c r="A5" s="35" t="s">
        <v>30</v>
      </c>
      <c r="B5" s="35" t="s">
        <v>60</v>
      </c>
      <c r="C5" s="36">
        <v>5.0</v>
      </c>
      <c r="D5" s="37">
        <f>SetupStarter</f>
        <v>80000</v>
      </c>
      <c r="E5" s="37">
        <f>HostStarter</f>
        <v>36000</v>
      </c>
      <c r="F5" s="38">
        <f>TokenPrice2027</f>
        <v>0.01040825749</v>
      </c>
      <c r="G5" s="39">
        <f>StarterTokens2027</f>
        <v>500000</v>
      </c>
      <c r="H5" s="37">
        <f t="shared" ref="H5:H12" si="1">F5*G5</f>
        <v>5204.128743</v>
      </c>
      <c r="I5" s="40"/>
      <c r="J5" s="40"/>
      <c r="K5" s="37">
        <f t="shared" ref="K5:K12" si="2">C5*D5</f>
        <v>400000</v>
      </c>
      <c r="L5" s="37">
        <f t="shared" ref="L5:L12" si="3">O5*E5</f>
        <v>360000</v>
      </c>
      <c r="M5" s="37"/>
      <c r="N5" s="37"/>
      <c r="O5" s="41">
        <f>'2026'!$O$5+C5</f>
        <v>10</v>
      </c>
      <c r="P5" s="5" t="s">
        <v>61</v>
      </c>
      <c r="Q5" s="32">
        <f>K13</f>
        <v>2600000</v>
      </c>
    </row>
    <row r="6">
      <c r="A6" s="35" t="s">
        <v>30</v>
      </c>
      <c r="B6" s="35" t="s">
        <v>62</v>
      </c>
      <c r="C6" s="36">
        <v>5.0</v>
      </c>
      <c r="D6" s="37">
        <f>SetupStarter</f>
        <v>80000</v>
      </c>
      <c r="E6" s="37">
        <f>HostStarter</f>
        <v>36000</v>
      </c>
      <c r="F6" s="38">
        <f>TokenPrice2027</f>
        <v>0.01040825749</v>
      </c>
      <c r="G6" s="39">
        <f>StarterTokens2027</f>
        <v>500000</v>
      </c>
      <c r="H6" s="37">
        <f t="shared" si="1"/>
        <v>5204.128743</v>
      </c>
      <c r="I6" s="40">
        <f>RentalRateY1</f>
        <v>1</v>
      </c>
      <c r="J6" s="40">
        <f>RentalRateYn</f>
        <v>0.7</v>
      </c>
      <c r="K6" s="37">
        <f t="shared" si="2"/>
        <v>400000</v>
      </c>
      <c r="L6" s="37">
        <f t="shared" si="3"/>
        <v>288000</v>
      </c>
      <c r="M6" s="37">
        <f>C6*I6*H6</f>
        <v>26020.64371</v>
      </c>
      <c r="N6" s="37">
        <f>M6+(J6*H6*(O6-C6))</f>
        <v>36949.31407</v>
      </c>
      <c r="O6" s="41">
        <f>'2026'!$O$6+C6</f>
        <v>8</v>
      </c>
      <c r="P6" s="5" t="s">
        <v>63</v>
      </c>
      <c r="Q6" s="32">
        <f>L13</f>
        <v>1440000</v>
      </c>
      <c r="R6" s="42">
        <f>(Q7+Q6)/Q8</f>
        <v>0.3935062116</v>
      </c>
    </row>
    <row r="7">
      <c r="A7" s="4" t="s">
        <v>7</v>
      </c>
      <c r="B7" s="4" t="s">
        <v>60</v>
      </c>
      <c r="C7" s="36">
        <v>3.0</v>
      </c>
      <c r="D7" s="32">
        <f>SetupGrowth</f>
        <v>150000</v>
      </c>
      <c r="E7" s="32">
        <f>HostGrowth</f>
        <v>48000</v>
      </c>
      <c r="F7" s="43">
        <f>TokenPrice2027</f>
        <v>0.01040825749</v>
      </c>
      <c r="G7" s="28">
        <f t="array" ref="G7">GrowthTokens2027</f>
        <v>1500000</v>
      </c>
      <c r="H7" s="32">
        <f t="shared" si="1"/>
        <v>15612.38623</v>
      </c>
      <c r="I7" s="18"/>
      <c r="J7" s="18"/>
      <c r="K7" s="32">
        <f t="shared" si="2"/>
        <v>450000</v>
      </c>
      <c r="L7" s="32">
        <f t="shared" si="3"/>
        <v>192000</v>
      </c>
      <c r="M7" s="32"/>
      <c r="N7" s="32"/>
      <c r="O7" s="44">
        <f>'2026'!$O$7+C7</f>
        <v>4</v>
      </c>
      <c r="P7" s="5" t="s">
        <v>64</v>
      </c>
      <c r="Q7" s="32">
        <f>N13</f>
        <v>246935.9089</v>
      </c>
    </row>
    <row r="8">
      <c r="A8" s="4" t="s">
        <v>7</v>
      </c>
      <c r="B8" s="4" t="s">
        <v>62</v>
      </c>
      <c r="C8" s="36">
        <v>3.0</v>
      </c>
      <c r="D8" s="32">
        <f>SetupGrowth</f>
        <v>150000</v>
      </c>
      <c r="E8" s="32">
        <f>HostGrowth</f>
        <v>48000</v>
      </c>
      <c r="F8" s="43">
        <f>TokenPrice2027</f>
        <v>0.01040825749</v>
      </c>
      <c r="G8" s="28">
        <f t="array" ref="G8">GrowthTokens2027</f>
        <v>1500000</v>
      </c>
      <c r="H8" s="32">
        <f t="shared" si="1"/>
        <v>15612.38623</v>
      </c>
      <c r="I8" s="18">
        <f>RentalRateY1</f>
        <v>1</v>
      </c>
      <c r="J8" s="18">
        <f>RentalRateYn</f>
        <v>0.7</v>
      </c>
      <c r="K8" s="32">
        <f t="shared" si="2"/>
        <v>450000</v>
      </c>
      <c r="L8" s="32">
        <f t="shared" si="3"/>
        <v>192000</v>
      </c>
      <c r="M8" s="32">
        <f>C8*I8*H8</f>
        <v>46837.15869</v>
      </c>
      <c r="N8" s="32">
        <f>M8+(J8*H8*(O8-C8))</f>
        <v>57765.82905</v>
      </c>
      <c r="O8" s="44">
        <f>'2026'!$O$8+C8</f>
        <v>4</v>
      </c>
      <c r="P8" s="5" t="s">
        <v>65</v>
      </c>
      <c r="Q8" s="57">
        <f>SUM(Q5:Q7)</f>
        <v>4286935.909</v>
      </c>
    </row>
    <row r="9">
      <c r="A9" s="46" t="s">
        <v>31</v>
      </c>
      <c r="B9" s="46" t="s">
        <v>60</v>
      </c>
      <c r="C9" s="36">
        <v>1.0</v>
      </c>
      <c r="D9" s="47">
        <f>SetupScale</f>
        <v>200000</v>
      </c>
      <c r="E9" s="47">
        <f>HostScale</f>
        <v>72000</v>
      </c>
      <c r="F9" s="48">
        <f>TokenPrice2027</f>
        <v>0.01040825749</v>
      </c>
      <c r="G9" s="49">
        <f>ScaleTokens2027</f>
        <v>3750000</v>
      </c>
      <c r="H9" s="47">
        <f t="shared" si="1"/>
        <v>39030.96557</v>
      </c>
      <c r="I9" s="50"/>
      <c r="J9" s="50"/>
      <c r="K9" s="47">
        <f t="shared" si="2"/>
        <v>200000</v>
      </c>
      <c r="L9" s="47">
        <f t="shared" si="3"/>
        <v>72000</v>
      </c>
      <c r="M9" s="47"/>
      <c r="N9" s="47"/>
      <c r="O9" s="51">
        <f>'2026'!$O$9+C9</f>
        <v>1</v>
      </c>
    </row>
    <row r="10">
      <c r="A10" s="46" t="s">
        <v>31</v>
      </c>
      <c r="B10" s="46" t="s">
        <v>62</v>
      </c>
      <c r="C10" s="36">
        <v>2.0</v>
      </c>
      <c r="D10" s="47">
        <f>SetupScale</f>
        <v>200000</v>
      </c>
      <c r="E10" s="47">
        <f>HostScale</f>
        <v>72000</v>
      </c>
      <c r="F10" s="48">
        <f>TokenPrice2027</f>
        <v>0.01040825749</v>
      </c>
      <c r="G10" s="49">
        <f>ScaleTokens2027</f>
        <v>3750000</v>
      </c>
      <c r="H10" s="47">
        <f t="shared" si="1"/>
        <v>39030.96557</v>
      </c>
      <c r="I10" s="40">
        <f>RentalRateY1</f>
        <v>1</v>
      </c>
      <c r="J10" s="40">
        <f>RentalRateYn</f>
        <v>0.7</v>
      </c>
      <c r="K10" s="47">
        <f t="shared" si="2"/>
        <v>400000</v>
      </c>
      <c r="L10" s="47">
        <f t="shared" si="3"/>
        <v>216000</v>
      </c>
      <c r="M10" s="37">
        <f>C10*I10*H10</f>
        <v>78061.93114</v>
      </c>
      <c r="N10" s="37">
        <f>M10+(J10*H10*(O10-C10))</f>
        <v>105383.607</v>
      </c>
      <c r="O10" s="51">
        <f>'2026'!$O$10+C10</f>
        <v>3</v>
      </c>
    </row>
    <row r="11">
      <c r="A11" s="4" t="s">
        <v>32</v>
      </c>
      <c r="B11" s="4" t="s">
        <v>60</v>
      </c>
      <c r="C11" s="36">
        <v>0.0</v>
      </c>
      <c r="D11" s="32">
        <f>SetupEnterprise</f>
        <v>300000</v>
      </c>
      <c r="E11" s="32">
        <f>HostEnterprise</f>
        <v>120000</v>
      </c>
      <c r="F11" s="43">
        <f>TokenPrice2027</f>
        <v>0.01040825749</v>
      </c>
      <c r="G11" s="28">
        <f>EnterpriseTokens2027</f>
        <v>4500000</v>
      </c>
      <c r="H11" s="32">
        <f t="shared" si="1"/>
        <v>46837.15869</v>
      </c>
      <c r="I11" s="18"/>
      <c r="J11" s="18"/>
      <c r="K11" s="32">
        <f t="shared" si="2"/>
        <v>0</v>
      </c>
      <c r="L11" s="32">
        <f t="shared" si="3"/>
        <v>0</v>
      </c>
      <c r="M11" s="32"/>
      <c r="N11" s="32"/>
      <c r="O11" s="44">
        <f>'2026'!$O$11+C11</f>
        <v>0</v>
      </c>
    </row>
    <row r="12">
      <c r="A12" s="4" t="s">
        <v>32</v>
      </c>
      <c r="B12" s="4" t="s">
        <v>62</v>
      </c>
      <c r="C12" s="36">
        <v>1.0</v>
      </c>
      <c r="D12" s="32">
        <f>SetupEnterprise</f>
        <v>300000</v>
      </c>
      <c r="E12" s="32">
        <f>HostEnterprise</f>
        <v>120000</v>
      </c>
      <c r="F12" s="43">
        <f>TokenPrice2027</f>
        <v>0.01040825749</v>
      </c>
      <c r="G12" s="28">
        <f>EnterpriseTokens2027</f>
        <v>4500000</v>
      </c>
      <c r="H12" s="32">
        <f t="shared" si="1"/>
        <v>46837.15869</v>
      </c>
      <c r="I12" s="18">
        <f>RentalRateY1</f>
        <v>1</v>
      </c>
      <c r="J12" s="18">
        <f>RentalRateYn</f>
        <v>0.7</v>
      </c>
      <c r="K12" s="32">
        <f t="shared" si="2"/>
        <v>300000</v>
      </c>
      <c r="L12" s="32">
        <f t="shared" si="3"/>
        <v>120000</v>
      </c>
      <c r="M12" s="32">
        <f>C12*I12*H12</f>
        <v>46837.15869</v>
      </c>
      <c r="N12" s="32">
        <f>M12+(J12*H12*(O12-C12))</f>
        <v>46837.15869</v>
      </c>
      <c r="O12" s="44">
        <f>'2026'!$O$12+C12</f>
        <v>1</v>
      </c>
    </row>
    <row r="13">
      <c r="A13" s="5" t="s">
        <v>66</v>
      </c>
      <c r="C13" s="58">
        <f>SUM(C5:C12)</f>
        <v>20</v>
      </c>
      <c r="K13" s="59">
        <f t="shared" ref="K13:L13" si="4">SUM(K5:K12)</f>
        <v>2600000</v>
      </c>
      <c r="L13" s="60">
        <f t="shared" si="4"/>
        <v>1440000</v>
      </c>
      <c r="M13" s="60"/>
      <c r="N13" s="61">
        <f t="shared" ref="N13:O13" si="5">SUM(N5:N12)</f>
        <v>246935.9089</v>
      </c>
      <c r="O13" s="58">
        <f t="shared" si="5"/>
        <v>31</v>
      </c>
    </row>
    <row r="14">
      <c r="G14" s="6" t="s">
        <v>67</v>
      </c>
      <c r="H14" s="56">
        <f>sum(H5:H12)</f>
        <v>213369.2785</v>
      </c>
    </row>
    <row r="15">
      <c r="A15" s="4" t="s">
        <v>68</v>
      </c>
      <c r="C15" s="18">
        <f>(C6+C8+C12+C10)/C13</f>
        <v>0.55</v>
      </c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>
        <f>(O6+O8+O12+O10)/O13</f>
        <v>0.5161290323</v>
      </c>
    </row>
    <row r="17">
      <c r="A17" s="4" t="s">
        <v>69</v>
      </c>
      <c r="C17" s="28">
        <f>G6*C6+G8*C8+G10*C10+G12*C12</f>
        <v>19000000</v>
      </c>
    </row>
    <row r="18">
      <c r="A18" s="4" t="s">
        <v>70</v>
      </c>
      <c r="C18" s="28">
        <f>C17+'2026'!C18</f>
        <v>32500000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R6:R7"/>
  </mergeCells>
  <dataValidations>
    <dataValidation type="decimal" operator="greaterThanOrEqual" allowBlank="1" showErrorMessage="1" sqref="C5:C12">
      <formula1>0.0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8.71"/>
    <col customWidth="1" min="3" max="3" width="12.71"/>
    <col customWidth="1" min="4" max="5" width="20.71"/>
    <col customWidth="1" min="6" max="8" width="16.71"/>
    <col customWidth="1" min="9" max="10" width="14.71"/>
    <col customWidth="1" min="11" max="15" width="18.71"/>
    <col customWidth="1" min="16" max="16" width="8.86"/>
    <col customWidth="1" min="17" max="17" width="11.86"/>
    <col customWidth="1" min="18" max="26" width="8.86"/>
  </cols>
  <sheetData>
    <row r="1">
      <c r="A1" s="1" t="s">
        <v>72</v>
      </c>
    </row>
    <row r="2">
      <c r="A2" s="2" t="s">
        <v>44</v>
      </c>
      <c r="F2" s="3"/>
      <c r="G2" s="4" t="s">
        <v>2</v>
      </c>
    </row>
    <row r="4">
      <c r="A4" s="5" t="s">
        <v>22</v>
      </c>
      <c r="B4" s="5" t="s">
        <v>45</v>
      </c>
      <c r="C4" s="5" t="s">
        <v>46</v>
      </c>
      <c r="D4" s="5" t="s">
        <v>47</v>
      </c>
      <c r="E4" s="5" t="s">
        <v>48</v>
      </c>
      <c r="F4" s="5" t="s">
        <v>49</v>
      </c>
      <c r="G4" s="5" t="s">
        <v>50</v>
      </c>
      <c r="H4" s="5" t="s">
        <v>51</v>
      </c>
      <c r="I4" s="5" t="s">
        <v>52</v>
      </c>
      <c r="J4" s="5" t="s">
        <v>53</v>
      </c>
      <c r="K4" s="5" t="s">
        <v>54</v>
      </c>
      <c r="L4" s="5" t="s">
        <v>55</v>
      </c>
      <c r="M4" s="5" t="s">
        <v>56</v>
      </c>
      <c r="N4" s="5" t="s">
        <v>57</v>
      </c>
      <c r="O4" s="5" t="s">
        <v>58</v>
      </c>
      <c r="P4" s="5" t="s">
        <v>59</v>
      </c>
    </row>
    <row r="5">
      <c r="A5" s="35" t="s">
        <v>30</v>
      </c>
      <c r="B5" s="35" t="s">
        <v>60</v>
      </c>
      <c r="C5" s="36">
        <v>10.0</v>
      </c>
      <c r="D5" s="37">
        <f>SetupStarter</f>
        <v>80000</v>
      </c>
      <c r="E5" s="37">
        <f>HostStarter</f>
        <v>36000</v>
      </c>
      <c r="F5" s="38">
        <f>TokenPrice2028</f>
        <v>0.02505541742</v>
      </c>
      <c r="G5" s="39">
        <f>StarterTokens2028</f>
        <v>250000</v>
      </c>
      <c r="H5" s="37">
        <f t="shared" ref="H5:H12" si="1">F5*G5</f>
        <v>6263.854356</v>
      </c>
      <c r="I5" s="40"/>
      <c r="J5" s="40"/>
      <c r="K5" s="37">
        <f t="shared" ref="K5:K12" si="2">C5*D5</f>
        <v>800000</v>
      </c>
      <c r="L5" s="37">
        <f t="shared" ref="L5:L12" si="3">O5*E5</f>
        <v>720000</v>
      </c>
      <c r="M5" s="37"/>
      <c r="N5" s="37"/>
      <c r="O5" s="41">
        <f>'2027'!$O$5+C5</f>
        <v>20</v>
      </c>
      <c r="P5" s="5" t="s">
        <v>61</v>
      </c>
      <c r="Q5" s="32">
        <f>K13</f>
        <v>5500000</v>
      </c>
    </row>
    <row r="6">
      <c r="A6" s="35" t="s">
        <v>30</v>
      </c>
      <c r="B6" s="35" t="s">
        <v>62</v>
      </c>
      <c r="C6" s="36">
        <v>10.0</v>
      </c>
      <c r="D6" s="37">
        <f>SetupStarter</f>
        <v>80000</v>
      </c>
      <c r="E6" s="37">
        <f>HostStarter</f>
        <v>36000</v>
      </c>
      <c r="F6" s="38">
        <f>TokenPrice2028</f>
        <v>0.02505541742</v>
      </c>
      <c r="G6" s="39">
        <f>StarterTokens2028</f>
        <v>250000</v>
      </c>
      <c r="H6" s="37">
        <f t="shared" si="1"/>
        <v>6263.854356</v>
      </c>
      <c r="I6" s="40">
        <f>RentalRateY1</f>
        <v>1</v>
      </c>
      <c r="J6" s="40">
        <f>RentalRateYn</f>
        <v>0.7</v>
      </c>
      <c r="K6" s="37">
        <f t="shared" si="2"/>
        <v>800000</v>
      </c>
      <c r="L6" s="37">
        <f t="shared" si="3"/>
        <v>648000</v>
      </c>
      <c r="M6" s="37">
        <f>C6*I6*H6</f>
        <v>62638.54356</v>
      </c>
      <c r="N6" s="37">
        <f>M6+(J6*H6*(O6-C6))</f>
        <v>97716.12795</v>
      </c>
      <c r="O6" s="41">
        <f>'2027'!$O$6+C6</f>
        <v>18</v>
      </c>
      <c r="P6" s="5" t="s">
        <v>63</v>
      </c>
      <c r="Q6" s="32">
        <f>L13</f>
        <v>3552000</v>
      </c>
      <c r="R6" s="42">
        <f>(Q7+Q6)/Q8</f>
        <v>0.4350325035</v>
      </c>
    </row>
    <row r="7">
      <c r="A7" s="4" t="s">
        <v>7</v>
      </c>
      <c r="B7" s="4" t="s">
        <v>60</v>
      </c>
      <c r="C7" s="36">
        <v>5.0</v>
      </c>
      <c r="D7" s="32">
        <f>SetupGrowth</f>
        <v>150000</v>
      </c>
      <c r="E7" s="32">
        <f>HostGrowth</f>
        <v>48000</v>
      </c>
      <c r="F7" s="43">
        <f>TokenPrice2028</f>
        <v>0.02505541742</v>
      </c>
      <c r="G7" s="28">
        <f>GrowthTokens2028</f>
        <v>750000</v>
      </c>
      <c r="H7" s="32">
        <f t="shared" si="1"/>
        <v>18791.56307</v>
      </c>
      <c r="I7" s="18"/>
      <c r="J7" s="18"/>
      <c r="K7" s="32">
        <f t="shared" si="2"/>
        <v>750000</v>
      </c>
      <c r="L7" s="32">
        <f t="shared" si="3"/>
        <v>432000</v>
      </c>
      <c r="M7" s="32"/>
      <c r="N7" s="32"/>
      <c r="O7" s="44">
        <f>'2027'!$O$7+C7</f>
        <v>9</v>
      </c>
      <c r="P7" s="5" t="s">
        <v>64</v>
      </c>
      <c r="Q7" s="32">
        <f>N13</f>
        <v>683073.3175</v>
      </c>
    </row>
    <row r="8">
      <c r="A8" s="4" t="s">
        <v>7</v>
      </c>
      <c r="B8" s="4" t="s">
        <v>62</v>
      </c>
      <c r="C8" s="36">
        <v>5.0</v>
      </c>
      <c r="D8" s="32">
        <f>SetupGrowth</f>
        <v>150000</v>
      </c>
      <c r="E8" s="32">
        <f>HostGrowth</f>
        <v>48000</v>
      </c>
      <c r="F8" s="43">
        <f>TokenPrice2028</f>
        <v>0.02505541742</v>
      </c>
      <c r="G8" s="28">
        <f>GrowthTokens2028</f>
        <v>750000</v>
      </c>
      <c r="H8" s="32">
        <f t="shared" si="1"/>
        <v>18791.56307</v>
      </c>
      <c r="I8" s="18">
        <f>RentalRateY1</f>
        <v>1</v>
      </c>
      <c r="J8" s="18">
        <f>RentalRateYn</f>
        <v>0.7</v>
      </c>
      <c r="K8" s="32">
        <f t="shared" si="2"/>
        <v>750000</v>
      </c>
      <c r="L8" s="32">
        <f t="shared" si="3"/>
        <v>432000</v>
      </c>
      <c r="M8" s="32">
        <f>C8*I8*H8</f>
        <v>93957.81534</v>
      </c>
      <c r="N8" s="32">
        <f>M8+(J8*H8*(O8-C8))</f>
        <v>146574.1919</v>
      </c>
      <c r="O8" s="44">
        <f>'2027'!$O$8+C8</f>
        <v>9</v>
      </c>
      <c r="P8" s="5" t="s">
        <v>65</v>
      </c>
      <c r="Q8" s="57">
        <f>SUM(Q5:Q7)</f>
        <v>9735073.318</v>
      </c>
    </row>
    <row r="9">
      <c r="A9" s="46" t="s">
        <v>31</v>
      </c>
      <c r="B9" s="46" t="s">
        <v>60</v>
      </c>
      <c r="C9" s="36">
        <v>2.0</v>
      </c>
      <c r="D9" s="47">
        <f>SetupScale</f>
        <v>200000</v>
      </c>
      <c r="E9" s="47">
        <f>HostScale</f>
        <v>72000</v>
      </c>
      <c r="F9" s="48">
        <f>TokenPrice2028</f>
        <v>0.02505541742</v>
      </c>
      <c r="G9" s="49">
        <f>ScaleTokens2028</f>
        <v>1875000</v>
      </c>
      <c r="H9" s="47">
        <f t="shared" si="1"/>
        <v>46978.90767</v>
      </c>
      <c r="I9" s="50"/>
      <c r="J9" s="50"/>
      <c r="K9" s="47">
        <f t="shared" si="2"/>
        <v>400000</v>
      </c>
      <c r="L9" s="47">
        <f t="shared" si="3"/>
        <v>216000</v>
      </c>
      <c r="M9" s="47"/>
      <c r="N9" s="47"/>
      <c r="O9" s="51">
        <f>'2027'!$O$9+C9</f>
        <v>3</v>
      </c>
    </row>
    <row r="10">
      <c r="A10" s="46" t="s">
        <v>31</v>
      </c>
      <c r="B10" s="46" t="s">
        <v>62</v>
      </c>
      <c r="C10" s="36">
        <v>4.0</v>
      </c>
      <c r="D10" s="47">
        <f>SetupScale</f>
        <v>200000</v>
      </c>
      <c r="E10" s="47">
        <f>HostScale</f>
        <v>72000</v>
      </c>
      <c r="F10" s="48">
        <f>TokenPrice2028</f>
        <v>0.02505541742</v>
      </c>
      <c r="G10" s="49">
        <f>ScaleTokens2028</f>
        <v>1875000</v>
      </c>
      <c r="H10" s="47">
        <f t="shared" si="1"/>
        <v>46978.90767</v>
      </c>
      <c r="I10" s="40">
        <f>RentalRateY1</f>
        <v>1</v>
      </c>
      <c r="J10" s="40">
        <f>RentalRateYn</f>
        <v>0.7</v>
      </c>
      <c r="K10" s="47">
        <f t="shared" si="2"/>
        <v>800000</v>
      </c>
      <c r="L10" s="47">
        <f t="shared" si="3"/>
        <v>504000</v>
      </c>
      <c r="M10" s="37">
        <f>C10*I10*H10</f>
        <v>187915.6307</v>
      </c>
      <c r="N10" s="37">
        <f>M10+(J10*H10*(O10-C10))</f>
        <v>286571.3368</v>
      </c>
      <c r="O10" s="51">
        <f>'2027'!$O$10+C10</f>
        <v>7</v>
      </c>
    </row>
    <row r="11">
      <c r="A11" s="4" t="s">
        <v>32</v>
      </c>
      <c r="B11" s="4" t="s">
        <v>60</v>
      </c>
      <c r="C11" s="36">
        <v>2.0</v>
      </c>
      <c r="D11" s="32">
        <f>SetupEnterprise</f>
        <v>300000</v>
      </c>
      <c r="E11" s="32">
        <f>HostEnterprise</f>
        <v>120000</v>
      </c>
      <c r="F11" s="43">
        <f>TokenPrice2028</f>
        <v>0.02505541742</v>
      </c>
      <c r="G11" s="28">
        <f>EnterpriseTokens2028</f>
        <v>2250000</v>
      </c>
      <c r="H11" s="32">
        <f t="shared" si="1"/>
        <v>56374.6892</v>
      </c>
      <c r="I11" s="18"/>
      <c r="J11" s="18"/>
      <c r="K11" s="32">
        <f t="shared" si="2"/>
        <v>600000</v>
      </c>
      <c r="L11" s="32">
        <f t="shared" si="3"/>
        <v>240000</v>
      </c>
      <c r="M11" s="32"/>
      <c r="N11" s="32"/>
      <c r="O11" s="44">
        <f>'2027'!$O$11+C11</f>
        <v>2</v>
      </c>
    </row>
    <row r="12">
      <c r="A12" s="4" t="s">
        <v>32</v>
      </c>
      <c r="B12" s="4" t="s">
        <v>62</v>
      </c>
      <c r="C12" s="36">
        <v>2.0</v>
      </c>
      <c r="D12" s="32">
        <f>SetupEnterprise</f>
        <v>300000</v>
      </c>
      <c r="E12" s="32">
        <f>HostEnterprise</f>
        <v>120000</v>
      </c>
      <c r="F12" s="43">
        <f>TokenPrice2028</f>
        <v>0.02505541742</v>
      </c>
      <c r="G12" s="28">
        <f>EnterpriseTokens2028</f>
        <v>2250000</v>
      </c>
      <c r="H12" s="32">
        <f t="shared" si="1"/>
        <v>56374.6892</v>
      </c>
      <c r="I12" s="18">
        <f>RentalRateY1</f>
        <v>1</v>
      </c>
      <c r="J12" s="18">
        <f>RentalRateYn</f>
        <v>0.7</v>
      </c>
      <c r="K12" s="32">
        <f t="shared" si="2"/>
        <v>600000</v>
      </c>
      <c r="L12" s="32">
        <f t="shared" si="3"/>
        <v>360000</v>
      </c>
      <c r="M12" s="32">
        <f>C12*I12*H12</f>
        <v>112749.3784</v>
      </c>
      <c r="N12" s="32">
        <f>M12+(J12*H12*(O12-C12))</f>
        <v>152211.6608</v>
      </c>
      <c r="O12" s="44">
        <f>'2027'!$O$12+C12</f>
        <v>3</v>
      </c>
    </row>
    <row r="13">
      <c r="A13" s="5" t="s">
        <v>66</v>
      </c>
      <c r="C13" s="58">
        <f>SUM(C5:C12)</f>
        <v>40</v>
      </c>
      <c r="K13" s="59">
        <f t="shared" ref="K13:L13" si="4">SUM(K5:K12)</f>
        <v>5500000</v>
      </c>
      <c r="L13" s="60">
        <f t="shared" si="4"/>
        <v>3552000</v>
      </c>
      <c r="M13" s="60"/>
      <c r="N13" s="61">
        <f t="shared" ref="N13:O13" si="5">SUM(N5:N12)</f>
        <v>683073.3175</v>
      </c>
      <c r="O13" s="58">
        <f t="shared" si="5"/>
        <v>71</v>
      </c>
    </row>
    <row r="14">
      <c r="G14" s="6" t="s">
        <v>67</v>
      </c>
      <c r="H14" s="56">
        <f>sum(H5:H12)</f>
        <v>256818.0286</v>
      </c>
    </row>
    <row r="15">
      <c r="A15" s="4" t="s">
        <v>68</v>
      </c>
      <c r="C15" s="18">
        <f>(C6+C8+C12+C10)/C13</f>
        <v>0.525</v>
      </c>
    </row>
    <row r="17">
      <c r="A17" s="4" t="s">
        <v>69</v>
      </c>
      <c r="C17" s="28">
        <f>G6*C6+G8*C8+G10*C10+G12*C12</f>
        <v>18250000</v>
      </c>
    </row>
    <row r="18">
      <c r="A18" s="4" t="s">
        <v>70</v>
      </c>
      <c r="C18" s="28">
        <f>C17+'2027'!C18</f>
        <v>50750000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R6:R7"/>
  </mergeCells>
  <dataValidations>
    <dataValidation type="decimal" operator="greaterThanOrEqual" allowBlank="1" showErrorMessage="1" sqref="C5:C12">
      <formula1>0.0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8.71"/>
    <col customWidth="1" min="3" max="3" width="12.71"/>
    <col customWidth="1" min="4" max="5" width="20.71"/>
    <col customWidth="1" min="6" max="8" width="16.71"/>
    <col customWidth="1" min="9" max="10" width="14.71"/>
    <col customWidth="1" min="11" max="15" width="18.71"/>
    <col customWidth="1" min="16" max="16" width="8.86"/>
    <col customWidth="1" min="17" max="17" width="15.86"/>
    <col customWidth="1" min="18" max="26" width="8.86"/>
  </cols>
  <sheetData>
    <row r="1">
      <c r="A1" s="1" t="s">
        <v>73</v>
      </c>
    </row>
    <row r="2">
      <c r="A2" s="2" t="s">
        <v>44</v>
      </c>
      <c r="F2" s="3"/>
      <c r="G2" s="4" t="s">
        <v>2</v>
      </c>
    </row>
    <row r="4">
      <c r="A4" s="5" t="s">
        <v>22</v>
      </c>
      <c r="B4" s="5" t="s">
        <v>45</v>
      </c>
      <c r="C4" s="5" t="s">
        <v>46</v>
      </c>
      <c r="D4" s="5" t="s">
        <v>47</v>
      </c>
      <c r="E4" s="5" t="s">
        <v>48</v>
      </c>
      <c r="F4" s="5" t="s">
        <v>49</v>
      </c>
      <c r="G4" s="5" t="s">
        <v>50</v>
      </c>
      <c r="H4" s="5" t="s">
        <v>51</v>
      </c>
      <c r="I4" s="5" t="s">
        <v>52</v>
      </c>
      <c r="J4" s="5" t="s">
        <v>53</v>
      </c>
      <c r="K4" s="5" t="s">
        <v>54</v>
      </c>
      <c r="L4" s="5" t="s">
        <v>55</v>
      </c>
      <c r="M4" s="5" t="s">
        <v>56</v>
      </c>
      <c r="N4" s="5" t="s">
        <v>57</v>
      </c>
      <c r="O4" s="5" t="s">
        <v>58</v>
      </c>
      <c r="P4" s="5" t="s">
        <v>59</v>
      </c>
    </row>
    <row r="5">
      <c r="A5" s="35" t="s">
        <v>30</v>
      </c>
      <c r="B5" s="35" t="s">
        <v>60</v>
      </c>
      <c r="C5" s="36">
        <v>15.0</v>
      </c>
      <c r="D5" s="37">
        <f>SetupStarter</f>
        <v>80000</v>
      </c>
      <c r="E5" s="37">
        <f>HostStarter</f>
        <v>36000</v>
      </c>
      <c r="F5" s="38">
        <f>TokenPrice2029</f>
        <v>0.06749495646</v>
      </c>
      <c r="G5" s="39">
        <f>StarterTokens2029</f>
        <v>125000</v>
      </c>
      <c r="H5" s="37">
        <f t="shared" ref="H5:H12" si="1">F5*G5</f>
        <v>8436.869557</v>
      </c>
      <c r="I5" s="40"/>
      <c r="J5" s="40"/>
      <c r="K5" s="37">
        <f t="shared" ref="K5:K12" si="2">C5*D5</f>
        <v>1200000</v>
      </c>
      <c r="L5" s="37">
        <f t="shared" ref="L5:L12" si="3">O5*E5</f>
        <v>1260000</v>
      </c>
      <c r="M5" s="37"/>
      <c r="N5" s="37"/>
      <c r="O5" s="41">
        <f>'2028'!$O$5+C5</f>
        <v>35</v>
      </c>
      <c r="P5" s="5" t="s">
        <v>61</v>
      </c>
      <c r="Q5" s="32">
        <f>K13</f>
        <v>9200000</v>
      </c>
    </row>
    <row r="6">
      <c r="A6" s="35" t="s">
        <v>30</v>
      </c>
      <c r="B6" s="35" t="s">
        <v>62</v>
      </c>
      <c r="C6" s="36">
        <v>15.0</v>
      </c>
      <c r="D6" s="37">
        <f>SetupStarter</f>
        <v>80000</v>
      </c>
      <c r="E6" s="37">
        <f>HostStarter</f>
        <v>36000</v>
      </c>
      <c r="F6" s="38">
        <f>TokenPrice2029</f>
        <v>0.06749495646</v>
      </c>
      <c r="G6" s="39">
        <f>StarterTokens2029</f>
        <v>125000</v>
      </c>
      <c r="H6" s="37">
        <f t="shared" si="1"/>
        <v>8436.869557</v>
      </c>
      <c r="I6" s="40">
        <f>RentalRateY1</f>
        <v>1</v>
      </c>
      <c r="J6" s="40">
        <f>RentalRateYn</f>
        <v>0.7</v>
      </c>
      <c r="K6" s="37">
        <f t="shared" si="2"/>
        <v>1200000</v>
      </c>
      <c r="L6" s="37">
        <f t="shared" si="3"/>
        <v>1188000</v>
      </c>
      <c r="M6" s="37">
        <f>C6*I6*H6</f>
        <v>126553.0434</v>
      </c>
      <c r="N6" s="37">
        <f>M6+(J6*H6*(O6-C6))</f>
        <v>232857.5998</v>
      </c>
      <c r="O6" s="41">
        <f>'2028'!$O$6+C6</f>
        <v>33</v>
      </c>
      <c r="P6" s="5" t="s">
        <v>63</v>
      </c>
      <c r="Q6" s="32">
        <f>L13</f>
        <v>7032000</v>
      </c>
      <c r="R6" s="42">
        <f>(Q7+Q6)/Q8</f>
        <v>0.4857781437</v>
      </c>
    </row>
    <row r="7">
      <c r="A7" s="4" t="s">
        <v>7</v>
      </c>
      <c r="B7" s="4" t="s">
        <v>60</v>
      </c>
      <c r="C7" s="36">
        <v>10.0</v>
      </c>
      <c r="D7" s="32">
        <f>SetupGrowth</f>
        <v>150000</v>
      </c>
      <c r="E7" s="32">
        <f>HostGrowth</f>
        <v>48000</v>
      </c>
      <c r="F7" s="43">
        <f>TokenPrice2029</f>
        <v>0.06749495646</v>
      </c>
      <c r="G7" s="28">
        <f>GrowthTokens2029</f>
        <v>375000</v>
      </c>
      <c r="H7" s="32">
        <f t="shared" si="1"/>
        <v>25310.60867</v>
      </c>
      <c r="I7" s="18"/>
      <c r="J7" s="18"/>
      <c r="K7" s="32">
        <f t="shared" si="2"/>
        <v>1500000</v>
      </c>
      <c r="L7" s="32">
        <f t="shared" si="3"/>
        <v>912000</v>
      </c>
      <c r="M7" s="32"/>
      <c r="N7" s="32"/>
      <c r="O7" s="44">
        <f>'2028'!$O$7+C7</f>
        <v>19</v>
      </c>
      <c r="P7" s="5" t="s">
        <v>64</v>
      </c>
      <c r="Q7" s="32">
        <f>N13</f>
        <v>1659110.398</v>
      </c>
    </row>
    <row r="8">
      <c r="A8" s="4" t="s">
        <v>7</v>
      </c>
      <c r="B8" s="4" t="s">
        <v>62</v>
      </c>
      <c r="C8" s="36">
        <v>10.0</v>
      </c>
      <c r="D8" s="32">
        <f>SetupGrowth</f>
        <v>150000</v>
      </c>
      <c r="E8" s="32">
        <f>HostGrowth</f>
        <v>48000</v>
      </c>
      <c r="F8" s="43">
        <f>TokenPrice2029</f>
        <v>0.06749495646</v>
      </c>
      <c r="G8" s="28">
        <f>GrowthTokens2029</f>
        <v>375000</v>
      </c>
      <c r="H8" s="32">
        <f t="shared" si="1"/>
        <v>25310.60867</v>
      </c>
      <c r="I8" s="18">
        <f>RentalRateY1</f>
        <v>1</v>
      </c>
      <c r="J8" s="18">
        <f>RentalRateYn</f>
        <v>0.7</v>
      </c>
      <c r="K8" s="32">
        <f t="shared" si="2"/>
        <v>1500000</v>
      </c>
      <c r="L8" s="32">
        <f t="shared" si="3"/>
        <v>912000</v>
      </c>
      <c r="M8" s="32">
        <f>C8*I8*H8</f>
        <v>253106.0867</v>
      </c>
      <c r="N8" s="32">
        <f>M8+(J8*H8*(O8-C8))</f>
        <v>412562.9213</v>
      </c>
      <c r="O8" s="44">
        <f>'2028'!$O$8+C8</f>
        <v>19</v>
      </c>
      <c r="P8" s="5" t="s">
        <v>65</v>
      </c>
      <c r="Q8" s="57">
        <f>SUM(Q5:Q7)</f>
        <v>17891110.4</v>
      </c>
    </row>
    <row r="9">
      <c r="A9" s="46" t="s">
        <v>31</v>
      </c>
      <c r="B9" s="46" t="s">
        <v>60</v>
      </c>
      <c r="C9" s="36">
        <v>5.0</v>
      </c>
      <c r="D9" s="47">
        <f>SetupScale</f>
        <v>200000</v>
      </c>
      <c r="E9" s="47">
        <f>HostScale</f>
        <v>72000</v>
      </c>
      <c r="F9" s="48">
        <f>TokenPrice2029</f>
        <v>0.06749495646</v>
      </c>
      <c r="G9" s="49">
        <f>ScaleTokens2029</f>
        <v>937500</v>
      </c>
      <c r="H9" s="47">
        <f t="shared" si="1"/>
        <v>63276.52168</v>
      </c>
      <c r="I9" s="50"/>
      <c r="J9" s="50"/>
      <c r="K9" s="47">
        <f t="shared" si="2"/>
        <v>1000000</v>
      </c>
      <c r="L9" s="47">
        <f t="shared" si="3"/>
        <v>576000</v>
      </c>
      <c r="M9" s="47"/>
      <c r="N9" s="47"/>
      <c r="O9" s="51">
        <f>'2028'!$O$9+C9</f>
        <v>8</v>
      </c>
    </row>
    <row r="10">
      <c r="A10" s="46" t="s">
        <v>31</v>
      </c>
      <c r="B10" s="46" t="s">
        <v>62</v>
      </c>
      <c r="C10" s="36">
        <v>5.0</v>
      </c>
      <c r="D10" s="47">
        <f>SetupScale</f>
        <v>200000</v>
      </c>
      <c r="E10" s="47">
        <f>HostScale</f>
        <v>72000</v>
      </c>
      <c r="F10" s="48">
        <f>TokenPrice2029</f>
        <v>0.06749495646</v>
      </c>
      <c r="G10" s="49">
        <f>ScaleTokens2029</f>
        <v>937500</v>
      </c>
      <c r="H10" s="47">
        <f t="shared" si="1"/>
        <v>63276.52168</v>
      </c>
      <c r="I10" s="40">
        <f>RentalRateY1</f>
        <v>1</v>
      </c>
      <c r="J10" s="40">
        <f>RentalRateYn</f>
        <v>0.7</v>
      </c>
      <c r="K10" s="47">
        <f t="shared" si="2"/>
        <v>1000000</v>
      </c>
      <c r="L10" s="47">
        <f t="shared" si="3"/>
        <v>864000</v>
      </c>
      <c r="M10" s="37">
        <f>C10*I10*H10</f>
        <v>316382.6084</v>
      </c>
      <c r="N10" s="37">
        <f>M10+(J10*H10*(O10-C10))</f>
        <v>626437.5646</v>
      </c>
      <c r="O10" s="51">
        <f>'2028'!$O$10+C10</f>
        <v>12</v>
      </c>
    </row>
    <row r="11">
      <c r="A11" s="4" t="s">
        <v>32</v>
      </c>
      <c r="B11" s="4" t="s">
        <v>60</v>
      </c>
      <c r="C11" s="36">
        <v>3.0</v>
      </c>
      <c r="D11" s="32">
        <f>SetupEnterprise</f>
        <v>300000</v>
      </c>
      <c r="E11" s="32">
        <f>HostEnterprise</f>
        <v>120000</v>
      </c>
      <c r="F11" s="43">
        <f>TokenPrice2029</f>
        <v>0.06749495646</v>
      </c>
      <c r="G11" s="28">
        <f>EnterpriseTokens2029</f>
        <v>1125000</v>
      </c>
      <c r="H11" s="32">
        <f t="shared" si="1"/>
        <v>75931.82601</v>
      </c>
      <c r="I11" s="18"/>
      <c r="J11" s="18"/>
      <c r="K11" s="32">
        <f t="shared" si="2"/>
        <v>900000</v>
      </c>
      <c r="L11" s="32">
        <f t="shared" si="3"/>
        <v>600000</v>
      </c>
      <c r="M11" s="32"/>
      <c r="N11" s="32"/>
      <c r="O11" s="44">
        <f>'2028'!$O$11+C11</f>
        <v>5</v>
      </c>
    </row>
    <row r="12">
      <c r="A12" s="4" t="s">
        <v>32</v>
      </c>
      <c r="B12" s="4" t="s">
        <v>62</v>
      </c>
      <c r="C12" s="36">
        <v>3.0</v>
      </c>
      <c r="D12" s="32">
        <f>SetupEnterprise</f>
        <v>300000</v>
      </c>
      <c r="E12" s="32">
        <f>HostEnterprise</f>
        <v>120000</v>
      </c>
      <c r="F12" s="43">
        <f>TokenPrice2029</f>
        <v>0.06749495646</v>
      </c>
      <c r="G12" s="28">
        <f>EnterpriseTokens2029</f>
        <v>1125000</v>
      </c>
      <c r="H12" s="32">
        <f t="shared" si="1"/>
        <v>75931.82601</v>
      </c>
      <c r="I12" s="18">
        <f>RentalRateY1</f>
        <v>1</v>
      </c>
      <c r="J12" s="18">
        <f>RentalRateYn</f>
        <v>0.7</v>
      </c>
      <c r="K12" s="32">
        <f t="shared" si="2"/>
        <v>900000</v>
      </c>
      <c r="L12" s="32">
        <f t="shared" si="3"/>
        <v>720000</v>
      </c>
      <c r="M12" s="32">
        <f>C12*I12*H12</f>
        <v>227795.478</v>
      </c>
      <c r="N12" s="32">
        <f>M12+(J12*H12*(O12-C12))</f>
        <v>387252.3127</v>
      </c>
      <c r="O12" s="44">
        <f>'2028'!$O$12+C12</f>
        <v>6</v>
      </c>
    </row>
    <row r="13">
      <c r="A13" s="5" t="s">
        <v>66</v>
      </c>
      <c r="C13" s="58">
        <f>SUM(C5:C12)</f>
        <v>66</v>
      </c>
      <c r="K13" s="59">
        <f t="shared" ref="K13:L13" si="4">SUM(K5:K12)</f>
        <v>9200000</v>
      </c>
      <c r="L13" s="60">
        <f t="shared" si="4"/>
        <v>7032000</v>
      </c>
      <c r="M13" s="60"/>
      <c r="N13" s="61">
        <f t="shared" ref="N13:O13" si="5">SUM(N5:N12)</f>
        <v>1659110.398</v>
      </c>
      <c r="O13" s="58">
        <f t="shared" si="5"/>
        <v>137</v>
      </c>
    </row>
    <row r="14">
      <c r="G14" s="6" t="s">
        <v>67</v>
      </c>
      <c r="H14" s="56">
        <f>sum(H5:H12)</f>
        <v>345911.6518</v>
      </c>
    </row>
    <row r="15">
      <c r="A15" s="4" t="s">
        <v>68</v>
      </c>
      <c r="C15" s="18">
        <f>(C6+C8+C12+C10)/C13</f>
        <v>0.5</v>
      </c>
    </row>
    <row r="17">
      <c r="A17" s="4" t="s">
        <v>69</v>
      </c>
      <c r="C17" s="28">
        <f>G6*C6+G8*C8+G10*C10+G12*C12</f>
        <v>13687500</v>
      </c>
    </row>
    <row r="18">
      <c r="A18" s="4" t="s">
        <v>70</v>
      </c>
      <c r="C18" s="28">
        <f>C17+'2028'!C18</f>
        <v>64437500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R6:R7"/>
  </mergeCells>
  <dataValidations>
    <dataValidation type="decimal" operator="greaterThanOrEqual" allowBlank="1" showErrorMessage="1" sqref="C5:C12">
      <formula1>0.0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8.71"/>
    <col customWidth="1" min="3" max="3" width="12.71"/>
    <col customWidth="1" min="4" max="5" width="20.71"/>
    <col customWidth="1" min="6" max="6" width="16.71"/>
    <col customWidth="1" min="7" max="7" width="16.29"/>
    <col customWidth="1" min="8" max="8" width="16.71"/>
    <col customWidth="1" min="9" max="10" width="14.71"/>
    <col customWidth="1" min="11" max="15" width="18.71"/>
    <col customWidth="1" min="16" max="16" width="8.86"/>
    <col customWidth="1" min="17" max="17" width="17.43"/>
    <col customWidth="1" min="18" max="26" width="8.86"/>
  </cols>
  <sheetData>
    <row r="1">
      <c r="A1" s="1" t="s">
        <v>74</v>
      </c>
    </row>
    <row r="2">
      <c r="A2" s="2" t="s">
        <v>44</v>
      </c>
      <c r="F2" s="3"/>
      <c r="G2" s="4" t="s">
        <v>2</v>
      </c>
    </row>
    <row r="4">
      <c r="A4" s="5" t="s">
        <v>22</v>
      </c>
      <c r="B4" s="5" t="s">
        <v>45</v>
      </c>
      <c r="C4" s="5" t="s">
        <v>46</v>
      </c>
      <c r="D4" s="5" t="s">
        <v>47</v>
      </c>
      <c r="E4" s="5" t="s">
        <v>48</v>
      </c>
      <c r="F4" s="5" t="s">
        <v>49</v>
      </c>
      <c r="G4" s="5" t="s">
        <v>50</v>
      </c>
      <c r="H4" s="5" t="s">
        <v>51</v>
      </c>
      <c r="I4" s="5" t="s">
        <v>52</v>
      </c>
      <c r="J4" s="5" t="s">
        <v>53</v>
      </c>
      <c r="K4" s="5" t="s">
        <v>54</v>
      </c>
      <c r="L4" s="5" t="s">
        <v>55</v>
      </c>
      <c r="M4" s="5" t="s">
        <v>56</v>
      </c>
      <c r="N4" s="5" t="s">
        <v>57</v>
      </c>
      <c r="O4" s="5" t="s">
        <v>58</v>
      </c>
      <c r="P4" s="5" t="s">
        <v>59</v>
      </c>
    </row>
    <row r="5">
      <c r="A5" s="35" t="s">
        <v>30</v>
      </c>
      <c r="B5" s="35" t="s">
        <v>60</v>
      </c>
      <c r="C5" s="36">
        <v>20.0</v>
      </c>
      <c r="D5" s="37">
        <f>SetupStarter</f>
        <v>80000</v>
      </c>
      <c r="E5" s="37">
        <f>HostStarter</f>
        <v>36000</v>
      </c>
      <c r="F5" s="38">
        <f>TokenPrice2030</f>
        <v>0.2214805248</v>
      </c>
      <c r="G5" s="39">
        <f>StarterTokens2030</f>
        <v>62500</v>
      </c>
      <c r="H5" s="37">
        <f t="shared" ref="H5:H12" si="1">F5*G5</f>
        <v>13842.5328</v>
      </c>
      <c r="I5" s="40"/>
      <c r="J5" s="40"/>
      <c r="K5" s="37">
        <f t="shared" ref="K5:K12" si="2">C5*D5</f>
        <v>1600000</v>
      </c>
      <c r="L5" s="37">
        <f t="shared" ref="L5:L12" si="3">O5*E5</f>
        <v>1980000</v>
      </c>
      <c r="M5" s="37"/>
      <c r="N5" s="37"/>
      <c r="O5" s="41">
        <f>'2029'!$O$5+C5</f>
        <v>55</v>
      </c>
      <c r="P5" s="5" t="s">
        <v>61</v>
      </c>
      <c r="Q5" s="32">
        <f>K13</f>
        <v>14700000</v>
      </c>
    </row>
    <row r="6">
      <c r="A6" s="35" t="s">
        <v>30</v>
      </c>
      <c r="B6" s="35" t="s">
        <v>62</v>
      </c>
      <c r="C6" s="36">
        <v>20.0</v>
      </c>
      <c r="D6" s="37">
        <f>SetupStarter</f>
        <v>80000</v>
      </c>
      <c r="E6" s="37">
        <f>HostStarter</f>
        <v>36000</v>
      </c>
      <c r="F6" s="38">
        <f>TokenPrice2030</f>
        <v>0.2214805248</v>
      </c>
      <c r="G6" s="39">
        <f>StarterTokens2030</f>
        <v>62500</v>
      </c>
      <c r="H6" s="37">
        <f t="shared" si="1"/>
        <v>13842.5328</v>
      </c>
      <c r="I6" s="40">
        <f>RentalRateY1</f>
        <v>1</v>
      </c>
      <c r="J6" s="40">
        <f>RentalRateYn</f>
        <v>0.7</v>
      </c>
      <c r="K6" s="37">
        <f t="shared" si="2"/>
        <v>1600000</v>
      </c>
      <c r="L6" s="37">
        <f t="shared" si="3"/>
        <v>1908000</v>
      </c>
      <c r="M6" s="37">
        <f>C6*I6*H6</f>
        <v>276850.6561</v>
      </c>
      <c r="N6" s="37">
        <f>M6+(J6*H6*(O6-C6))</f>
        <v>596613.1638</v>
      </c>
      <c r="O6" s="41">
        <f>'2029'!$O$6+C6</f>
        <v>53</v>
      </c>
      <c r="P6" s="5" t="s">
        <v>63</v>
      </c>
      <c r="Q6" s="32">
        <f>L13</f>
        <v>12552000</v>
      </c>
      <c r="R6" s="42">
        <f>(Q7+Q6)/Q8</f>
        <v>0.5417745079</v>
      </c>
    </row>
    <row r="7">
      <c r="A7" s="4" t="s">
        <v>7</v>
      </c>
      <c r="B7" s="4" t="s">
        <v>60</v>
      </c>
      <c r="C7" s="36">
        <v>15.0</v>
      </c>
      <c r="D7" s="32">
        <f>SetupGrowth</f>
        <v>150000</v>
      </c>
      <c r="E7" s="32">
        <f>HostGrowth</f>
        <v>48000</v>
      </c>
      <c r="F7" s="43">
        <f>TokenPrice2030</f>
        <v>0.2214805248</v>
      </c>
      <c r="G7" s="28">
        <f>GrowthTokens2030</f>
        <v>187500</v>
      </c>
      <c r="H7" s="32">
        <f t="shared" si="1"/>
        <v>41527.59841</v>
      </c>
      <c r="I7" s="18"/>
      <c r="J7" s="18"/>
      <c r="K7" s="32">
        <f t="shared" si="2"/>
        <v>2250000</v>
      </c>
      <c r="L7" s="32">
        <f t="shared" si="3"/>
        <v>1632000</v>
      </c>
      <c r="M7" s="32"/>
      <c r="N7" s="32"/>
      <c r="O7" s="44">
        <f>'2029'!$O$7+C7</f>
        <v>34</v>
      </c>
      <c r="P7" s="5" t="s">
        <v>64</v>
      </c>
      <c r="Q7" s="32">
        <f>N13</f>
        <v>4828275.442</v>
      </c>
    </row>
    <row r="8">
      <c r="A8" s="4" t="s">
        <v>7</v>
      </c>
      <c r="B8" s="4" t="s">
        <v>62</v>
      </c>
      <c r="C8" s="36">
        <v>15.0</v>
      </c>
      <c r="D8" s="32">
        <f>SetupGrowth</f>
        <v>150000</v>
      </c>
      <c r="E8" s="32">
        <f>HostGrowth</f>
        <v>48000</v>
      </c>
      <c r="F8" s="43">
        <f>TokenPrice2030</f>
        <v>0.2214805248</v>
      </c>
      <c r="G8" s="28">
        <f>GrowthTokens2030</f>
        <v>187500</v>
      </c>
      <c r="H8" s="32">
        <f t="shared" si="1"/>
        <v>41527.59841</v>
      </c>
      <c r="I8" s="18">
        <f>RentalRateY1</f>
        <v>1</v>
      </c>
      <c r="J8" s="18">
        <f>RentalRateYn</f>
        <v>0.7</v>
      </c>
      <c r="K8" s="32">
        <f t="shared" si="2"/>
        <v>2250000</v>
      </c>
      <c r="L8" s="32">
        <f t="shared" si="3"/>
        <v>1632000</v>
      </c>
      <c r="M8" s="32">
        <f>C8*I8*H8</f>
        <v>622913.9761</v>
      </c>
      <c r="N8" s="32">
        <f>M8+(J8*H8*(O8-C8))</f>
        <v>1175231.035</v>
      </c>
      <c r="O8" s="44">
        <f>'2029'!$O$8+C8</f>
        <v>34</v>
      </c>
      <c r="P8" s="5" t="s">
        <v>65</v>
      </c>
      <c r="Q8" s="57">
        <f>SUM(Q5:Q7)</f>
        <v>32080275.44</v>
      </c>
    </row>
    <row r="9">
      <c r="A9" s="46" t="s">
        <v>31</v>
      </c>
      <c r="B9" s="46" t="s">
        <v>60</v>
      </c>
      <c r="C9" s="36">
        <v>10.0</v>
      </c>
      <c r="D9" s="47">
        <f>SetupScale</f>
        <v>200000</v>
      </c>
      <c r="E9" s="47">
        <f>HostScale</f>
        <v>72000</v>
      </c>
      <c r="F9" s="48">
        <f>TokenPrice2030</f>
        <v>0.2214805248</v>
      </c>
      <c r="G9" s="49">
        <f>ScaleTokens2030</f>
        <v>468750</v>
      </c>
      <c r="H9" s="47">
        <f t="shared" si="1"/>
        <v>103818.996</v>
      </c>
      <c r="I9" s="50"/>
      <c r="J9" s="50"/>
      <c r="K9" s="47">
        <f t="shared" si="2"/>
        <v>2000000</v>
      </c>
      <c r="L9" s="47">
        <f t="shared" si="3"/>
        <v>1296000</v>
      </c>
      <c r="M9" s="47"/>
      <c r="N9" s="47"/>
      <c r="O9" s="51">
        <f>'2029'!$O$9+C9</f>
        <v>18</v>
      </c>
    </row>
    <row r="10">
      <c r="A10" s="46" t="s">
        <v>31</v>
      </c>
      <c r="B10" s="46" t="s">
        <v>62</v>
      </c>
      <c r="C10" s="36">
        <v>10.0</v>
      </c>
      <c r="D10" s="47">
        <f>SetupScale</f>
        <v>200000</v>
      </c>
      <c r="E10" s="47">
        <f>HostScale</f>
        <v>72000</v>
      </c>
      <c r="F10" s="48">
        <f>TokenPrice2030</f>
        <v>0.2214805248</v>
      </c>
      <c r="G10" s="49">
        <f>ScaleTokens2030</f>
        <v>468750</v>
      </c>
      <c r="H10" s="47">
        <f t="shared" si="1"/>
        <v>103818.996</v>
      </c>
      <c r="I10" s="40">
        <f>RentalRateY1</f>
        <v>1</v>
      </c>
      <c r="J10" s="40">
        <f>RentalRateYn</f>
        <v>0.7</v>
      </c>
      <c r="K10" s="47">
        <f t="shared" si="2"/>
        <v>2000000</v>
      </c>
      <c r="L10" s="47">
        <f t="shared" si="3"/>
        <v>1584000</v>
      </c>
      <c r="M10" s="37">
        <f>C10*I10*H10</f>
        <v>1038189.96</v>
      </c>
      <c r="N10" s="37">
        <f>M10+(J10*H10*(O10-C10))</f>
        <v>1910269.527</v>
      </c>
      <c r="O10" s="51">
        <f>'2029'!$O$10+C10</f>
        <v>22</v>
      </c>
    </row>
    <row r="11">
      <c r="A11" s="4" t="s">
        <v>32</v>
      </c>
      <c r="B11" s="4" t="s">
        <v>60</v>
      </c>
      <c r="C11" s="36">
        <v>5.0</v>
      </c>
      <c r="D11" s="32">
        <f>SetupEnterprise</f>
        <v>300000</v>
      </c>
      <c r="E11" s="32">
        <f>HostEnterprise</f>
        <v>120000</v>
      </c>
      <c r="F11" s="43">
        <f>TokenPrice2030</f>
        <v>0.2214805248</v>
      </c>
      <c r="G11" s="28">
        <f>EnterpriseTokens2030</f>
        <v>562500</v>
      </c>
      <c r="H11" s="32">
        <f t="shared" si="1"/>
        <v>124582.7952</v>
      </c>
      <c r="I11" s="18"/>
      <c r="J11" s="18"/>
      <c r="K11" s="32">
        <f t="shared" si="2"/>
        <v>1500000</v>
      </c>
      <c r="L11" s="32">
        <f t="shared" si="3"/>
        <v>1200000</v>
      </c>
      <c r="M11" s="32"/>
      <c r="N11" s="32"/>
      <c r="O11" s="44">
        <f>'2029'!$O$11+C11</f>
        <v>10</v>
      </c>
    </row>
    <row r="12">
      <c r="A12" s="4" t="s">
        <v>32</v>
      </c>
      <c r="B12" s="4" t="s">
        <v>62</v>
      </c>
      <c r="C12" s="36">
        <v>5.0</v>
      </c>
      <c r="D12" s="32">
        <f>SetupEnterprise</f>
        <v>300000</v>
      </c>
      <c r="E12" s="32">
        <f>HostEnterprise</f>
        <v>120000</v>
      </c>
      <c r="F12" s="43">
        <f>TokenPrice2030</f>
        <v>0.2214805248</v>
      </c>
      <c r="G12" s="28">
        <f>EnterpriseTokens2030</f>
        <v>562500</v>
      </c>
      <c r="H12" s="32">
        <f t="shared" si="1"/>
        <v>124582.7952</v>
      </c>
      <c r="I12" s="18">
        <f>RentalRateY1</f>
        <v>1</v>
      </c>
      <c r="J12" s="18">
        <f>RentalRateYn</f>
        <v>0.7</v>
      </c>
      <c r="K12" s="32">
        <f t="shared" si="2"/>
        <v>1500000</v>
      </c>
      <c r="L12" s="32">
        <f t="shared" si="3"/>
        <v>1320000</v>
      </c>
      <c r="M12" s="32">
        <f>C12*I12*H12</f>
        <v>622913.9761</v>
      </c>
      <c r="N12" s="32">
        <f>M12+(J12*H12*(O12-C12))</f>
        <v>1146161.716</v>
      </c>
      <c r="O12" s="44">
        <f>'2029'!$O$12+C12</f>
        <v>11</v>
      </c>
    </row>
    <row r="13">
      <c r="A13" s="5" t="s">
        <v>66</v>
      </c>
      <c r="C13" s="58">
        <f>SUM(C5:C12)</f>
        <v>100</v>
      </c>
      <c r="K13" s="59">
        <f t="shared" ref="K13:L13" si="4">SUM(K5:K12)</f>
        <v>14700000</v>
      </c>
      <c r="L13" s="60">
        <f t="shared" si="4"/>
        <v>12552000</v>
      </c>
      <c r="M13" s="60"/>
      <c r="N13" s="61">
        <f t="shared" ref="N13:O13" si="5">SUM(N5:N12)</f>
        <v>4828275.442</v>
      </c>
      <c r="O13" s="58">
        <f t="shared" si="5"/>
        <v>237</v>
      </c>
    </row>
    <row r="14">
      <c r="H14" s="56">
        <f>sum(H5:H12)</f>
        <v>567543.8449</v>
      </c>
    </row>
    <row r="15">
      <c r="A15" s="4" t="s">
        <v>68</v>
      </c>
      <c r="C15" s="18">
        <f>(C6+C8+C12+C10)/C13</f>
        <v>0.5</v>
      </c>
    </row>
    <row r="17">
      <c r="A17" s="4" t="s">
        <v>69</v>
      </c>
      <c r="C17" s="28">
        <f>G6*C6+G8*C8+G10*C10+G12*C12</f>
        <v>11562500</v>
      </c>
    </row>
    <row r="18">
      <c r="A18" s="4" t="s">
        <v>70</v>
      </c>
      <c r="C18" s="28">
        <f>C17+'2029'!C18</f>
        <v>76000000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R6:R7"/>
  </mergeCells>
  <dataValidations>
    <dataValidation type="decimal" operator="greaterThanOrEqual" allowBlank="1" showErrorMessage="1" sqref="C5:C12">
      <formula1>0.0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6" width="16.71"/>
    <col customWidth="1" min="7" max="7" width="12.71"/>
    <col customWidth="1" min="8" max="8" width="16.71"/>
    <col customWidth="1" min="9" max="9" width="24.71"/>
    <col customWidth="1" min="10" max="27" width="8.86"/>
  </cols>
  <sheetData>
    <row r="1">
      <c r="A1" s="1" t="s">
        <v>75</v>
      </c>
    </row>
    <row r="3">
      <c r="A3" s="5" t="s">
        <v>5</v>
      </c>
      <c r="B3" s="7" t="s">
        <v>76</v>
      </c>
      <c r="C3" s="5" t="s">
        <v>77</v>
      </c>
      <c r="D3" s="5" t="s">
        <v>78</v>
      </c>
      <c r="E3" s="5" t="s">
        <v>79</v>
      </c>
      <c r="F3" s="5" t="s">
        <v>80</v>
      </c>
      <c r="G3" s="5" t="s">
        <v>81</v>
      </c>
      <c r="H3" s="5" t="s">
        <v>49</v>
      </c>
      <c r="I3" s="5" t="s">
        <v>82</v>
      </c>
    </row>
    <row r="4">
      <c r="A4" s="4">
        <v>2026.0</v>
      </c>
      <c r="B4" s="62">
        <f>'2026'!O13</f>
        <v>11</v>
      </c>
      <c r="C4" s="32">
        <f>'2026'!$Q$5</f>
        <v>980000</v>
      </c>
      <c r="D4" s="32">
        <f>'2026'!$Q$6</f>
        <v>456000</v>
      </c>
      <c r="E4" s="32">
        <f>'2026'!$Q$7</f>
        <v>67500</v>
      </c>
      <c r="F4" s="45">
        <f t="shared" ref="F4:F8" si="1">SUM(C4:E4)</f>
        <v>1503500</v>
      </c>
      <c r="G4" s="18">
        <f t="shared" ref="G4:G9" si="2">IFERROR((D4+E4)/F4,0)</f>
        <v>0.3481875624</v>
      </c>
      <c r="H4" s="43">
        <f>TokenPrice2026</f>
        <v>0.005</v>
      </c>
      <c r="I4" s="32">
        <f t="shared" ref="I4:I8" si="3">1000000000*H4</f>
        <v>5000000</v>
      </c>
    </row>
    <row r="5">
      <c r="A5" s="4">
        <v>2027.0</v>
      </c>
      <c r="B5" s="62">
        <f>'2027'!O13</f>
        <v>31</v>
      </c>
      <c r="C5" s="32">
        <f>'2027'!$Q$5</f>
        <v>2600000</v>
      </c>
      <c r="D5" s="32">
        <f>'2027'!$Q$6</f>
        <v>1440000</v>
      </c>
      <c r="E5" s="32">
        <f>'2027'!$Q$7</f>
        <v>246935.9089</v>
      </c>
      <c r="F5" s="45">
        <f t="shared" si="1"/>
        <v>4286935.909</v>
      </c>
      <c r="G5" s="18">
        <f t="shared" si="2"/>
        <v>0.3935062116</v>
      </c>
      <c r="H5" s="43">
        <f>TokenPrice2027</f>
        <v>0.01040825749</v>
      </c>
      <c r="I5" s="32">
        <f t="shared" si="3"/>
        <v>10408257.49</v>
      </c>
    </row>
    <row r="6">
      <c r="A6" s="4">
        <v>2028.0</v>
      </c>
      <c r="B6" s="62">
        <f>'2028'!O13</f>
        <v>71</v>
      </c>
      <c r="C6" s="32">
        <f>'2028'!$Q$5</f>
        <v>5500000</v>
      </c>
      <c r="D6" s="32">
        <f>'2028'!$Q$6</f>
        <v>3552000</v>
      </c>
      <c r="E6" s="32">
        <f>'2028'!$Q$7</f>
        <v>683073.3175</v>
      </c>
      <c r="F6" s="45">
        <f t="shared" si="1"/>
        <v>9735073.318</v>
      </c>
      <c r="G6" s="18">
        <f t="shared" si="2"/>
        <v>0.4350325035</v>
      </c>
      <c r="H6" s="43">
        <f>TokenPrice2028</f>
        <v>0.02505541742</v>
      </c>
      <c r="I6" s="32">
        <f t="shared" si="3"/>
        <v>25055417.42</v>
      </c>
    </row>
    <row r="7">
      <c r="A7" s="4">
        <v>2029.0</v>
      </c>
      <c r="B7" s="62">
        <f>'2029'!O13</f>
        <v>137</v>
      </c>
      <c r="C7" s="32">
        <f>'2029'!$Q$5</f>
        <v>9200000</v>
      </c>
      <c r="D7" s="32">
        <f>'2029'!$Q$6</f>
        <v>7032000</v>
      </c>
      <c r="E7" s="32">
        <f>'2029'!$Q$7</f>
        <v>1659110.398</v>
      </c>
      <c r="F7" s="45">
        <f t="shared" si="1"/>
        <v>17891110.4</v>
      </c>
      <c r="G7" s="18">
        <f t="shared" si="2"/>
        <v>0.4857781437</v>
      </c>
      <c r="H7" s="43">
        <f>TokenPrice2029</f>
        <v>0.06749495646</v>
      </c>
      <c r="I7" s="32">
        <f t="shared" si="3"/>
        <v>67494956.46</v>
      </c>
    </row>
    <row r="8">
      <c r="A8" s="4">
        <v>2030.0</v>
      </c>
      <c r="B8" s="62">
        <f>'2030'!O13</f>
        <v>237</v>
      </c>
      <c r="C8" s="32">
        <f>'2030'!$Q$5</f>
        <v>14700000</v>
      </c>
      <c r="D8" s="32">
        <f>'2030'!$Q$6</f>
        <v>12552000</v>
      </c>
      <c r="E8" s="32">
        <f>'2030'!$Q$7</f>
        <v>4828275.442</v>
      </c>
      <c r="F8" s="45">
        <f t="shared" si="1"/>
        <v>32080275.44</v>
      </c>
      <c r="G8" s="18">
        <f t="shared" si="2"/>
        <v>0.5417745079</v>
      </c>
      <c r="H8" s="43">
        <f>TokenPrice2030</f>
        <v>0.2214805248</v>
      </c>
      <c r="I8" s="32">
        <f t="shared" si="3"/>
        <v>221480524.8</v>
      </c>
    </row>
    <row r="9">
      <c r="A9" s="5" t="s">
        <v>66</v>
      </c>
      <c r="B9" s="63">
        <f>B8</f>
        <v>237</v>
      </c>
      <c r="C9" s="64">
        <f t="shared" ref="C9:F9" si="4">SUM(C4:C8)</f>
        <v>32980000</v>
      </c>
      <c r="D9" s="64">
        <f t="shared" si="4"/>
        <v>25032000</v>
      </c>
      <c r="E9" s="64">
        <f t="shared" si="4"/>
        <v>7484895.066</v>
      </c>
      <c r="F9" s="65">
        <f t="shared" si="4"/>
        <v>65496895.07</v>
      </c>
      <c r="G9" s="66">
        <f t="shared" si="2"/>
        <v>0.4964646802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0.71"/>
    <col customWidth="1" min="2" max="26" width="8.86"/>
  </cols>
  <sheetData>
    <row r="1">
      <c r="A1" s="1" t="s">
        <v>83</v>
      </c>
    </row>
    <row r="3">
      <c r="A3" s="2" t="s">
        <v>84</v>
      </c>
    </row>
    <row r="4">
      <c r="A4" s="2" t="s">
        <v>85</v>
      </c>
    </row>
    <row r="5">
      <c r="A5" s="2" t="s">
        <v>86</v>
      </c>
    </row>
    <row r="7">
      <c r="A7" s="5" t="s">
        <v>87</v>
      </c>
    </row>
    <row r="8">
      <c r="A8" s="2" t="s">
        <v>88</v>
      </c>
    </row>
    <row r="9">
      <c r="A9" s="2" t="s">
        <v>89</v>
      </c>
    </row>
    <row r="10">
      <c r="A10" s="2" t="s">
        <v>90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2025-10-20T09:05:08Z</dcterms:created>
</cp:coreProperties>
</file>